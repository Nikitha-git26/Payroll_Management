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ustomer_Tracker" sheetId="1" state="visible" r:id="rId1"/>
    <sheet name="02_Employee_Master" sheetId="2" state="visible" r:id="rId2"/>
    <sheet name="03_Payroll_Register" sheetId="3" state="visible" r:id="rId3"/>
    <sheet name="04_Task_Pipeline" sheetId="4" state="visible" r:id="rId4"/>
    <sheet name="05_Exception_Log" sheetId="5" state="visible" r:id="rId5"/>
    <sheet name="06_Reconciliation_Summary" sheetId="6" state="visible" r:id="rId6"/>
    <sheet name="07_KPI_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;(#,##0)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2E88"/>
      <sz val="14"/>
    </font>
    <font>
      <name val="Arial"/>
      <b val="1"/>
      <color rgb="001F2E88"/>
      <sz val="11"/>
    </font>
  </fonts>
  <fills count="3">
    <fill>
      <patternFill/>
    </fill>
    <fill>
      <patternFill patternType="gray125"/>
    </fill>
    <fill>
      <patternFill patternType="solid">
        <fgColor rgb="001F2E8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0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employee_count</t>
        </is>
      </c>
      <c r="E1" s="1" t="inlineStr">
        <is>
          <t>onboarding_start_date</t>
        </is>
      </c>
      <c r="F1" s="1" t="inlineStr">
        <is>
          <t>target_closure_date</t>
        </is>
      </c>
      <c r="G1" s="1" t="inlineStr">
        <is>
          <t>current_stage</t>
        </is>
      </c>
      <c r="H1" s="1" t="inlineStr">
        <is>
          <t>status</t>
        </is>
      </c>
      <c r="I1" s="1" t="inlineStr">
        <is>
          <t>total_tasks</t>
        </is>
      </c>
      <c r="J1" s="1" t="inlineStr">
        <is>
          <t>completed_tasks</t>
        </is>
      </c>
      <c r="K1" s="1" t="inlineStr">
        <is>
          <t>completion_pct</t>
        </is>
      </c>
      <c r="L1" s="1" t="inlineStr">
        <is>
          <t>blocked_tasks</t>
        </is>
      </c>
      <c r="M1" s="1" t="inlineStr">
        <is>
          <t>days_remaining</t>
        </is>
      </c>
      <c r="N1" s="1" t="inlineStr">
        <is>
          <t>sla_status</t>
        </is>
      </c>
      <c r="P1" s="2" t="inlineStr">
        <is>
          <t>Reference Date:</t>
        </is>
      </c>
      <c r="Q1" s="3" t="n">
        <v>46283</v>
      </c>
    </row>
    <row r="2">
      <c r="A2" s="4" t="inlineStr">
        <is>
          <t>C001</t>
        </is>
      </c>
      <c r="B2" s="4" t="inlineStr">
        <is>
          <t>Everest Systems</t>
        </is>
      </c>
      <c r="C2" s="4" t="inlineStr">
        <is>
          <t>EdTech</t>
        </is>
      </c>
      <c r="D2" s="4" t="n">
        <v>20</v>
      </c>
      <c r="E2" s="5" t="n">
        <v>46245</v>
      </c>
      <c r="F2" s="5" t="n">
        <v>46309</v>
      </c>
      <c r="G2" s="4" t="inlineStr">
        <is>
          <t>Approval</t>
        </is>
      </c>
      <c r="H2" s="4" t="inlineStr">
        <is>
          <t>Blocked</t>
        </is>
      </c>
      <c r="I2" s="4">
        <f>COUNTIF('04_Task_Pipeline'!$B:$B,A2)</f>
        <v/>
      </c>
      <c r="J2" s="4">
        <f>COUNTIFS('04_Task_Pipeline'!$B:$B,A2,'04_Task_Pipeline'!$F:$F,"Completed")</f>
        <v/>
      </c>
      <c r="K2" s="6">
        <f>IF(I2=0,0,J2/I2)</f>
        <v/>
      </c>
      <c r="L2" s="4">
        <f>COUNTIFS('04_Task_Pipeline'!$B:$B,A2,'04_Task_Pipeline'!$F:$F,"Blocked")</f>
        <v/>
      </c>
      <c r="M2" s="7">
        <f>F2-$Q$1</f>
        <v/>
      </c>
      <c r="N2" s="4">
        <f>IF(G2="Completed","Completed",IF(L2&gt;0,"Blocked",IF(M2&lt;0,"SLA Breach",IF(AND(M2&lt;=7,K2&lt;0.75),"At Risk",IF(AND(M2&lt;=14,K2&lt;0.5),"At Risk","On Track")))))</f>
        <v/>
      </c>
    </row>
    <row r="3">
      <c r="A3" s="4" t="inlineStr">
        <is>
          <t>C002</t>
        </is>
      </c>
      <c r="B3" s="4" t="inlineStr">
        <is>
          <t>Anchor Works</t>
        </is>
      </c>
      <c r="C3" s="4" t="inlineStr">
        <is>
          <t>Hospitality</t>
        </is>
      </c>
      <c r="D3" s="4" t="n">
        <v>32</v>
      </c>
      <c r="E3" s="5" t="n">
        <v>46227</v>
      </c>
      <c r="F3" s="5" t="n">
        <v>46288</v>
      </c>
      <c r="G3" s="4" t="inlineStr">
        <is>
          <t>Documents</t>
        </is>
      </c>
      <c r="H3" s="4" t="inlineStr">
        <is>
          <t>At Risk</t>
        </is>
      </c>
      <c r="I3" s="4">
        <f>COUNTIF('04_Task_Pipeline'!$B:$B,A3)</f>
        <v/>
      </c>
      <c r="J3" s="4">
        <f>COUNTIFS('04_Task_Pipeline'!$B:$B,A3,'04_Task_Pipeline'!$F:$F,"Completed")</f>
        <v/>
      </c>
      <c r="K3" s="6">
        <f>IF(I3=0,0,J3/I3)</f>
        <v/>
      </c>
      <c r="L3" s="4">
        <f>COUNTIFS('04_Task_Pipeline'!$B:$B,A3,'04_Task_Pipeline'!$F:$F,"Blocked")</f>
        <v/>
      </c>
      <c r="M3" s="7">
        <f>F3-$Q$1</f>
        <v/>
      </c>
      <c r="N3" s="4">
        <f>IF(G3="Completed","Completed",IF(L3&gt;0,"Blocked",IF(M3&lt;0,"SLA Breach",IF(AND(M3&lt;=7,K3&lt;0.75),"At Risk",IF(AND(M3&lt;=14,K3&lt;0.5),"At Risk","On Track")))))</f>
        <v/>
      </c>
    </row>
    <row r="4">
      <c r="A4" s="4" t="inlineStr">
        <is>
          <t>C003</t>
        </is>
      </c>
      <c r="B4" s="4" t="inlineStr">
        <is>
          <t>Zenith Solutions</t>
        </is>
      </c>
      <c r="C4" s="4" t="inlineStr">
        <is>
          <t>E-commerce</t>
        </is>
      </c>
      <c r="D4" s="4" t="n">
        <v>38</v>
      </c>
      <c r="E4" s="5" t="n">
        <v>46223</v>
      </c>
      <c r="F4" s="5" t="n">
        <v>46278</v>
      </c>
      <c r="G4" s="4" t="inlineStr">
        <is>
          <t>Completed</t>
        </is>
      </c>
      <c r="H4" s="4" t="inlineStr">
        <is>
          <t>Completed</t>
        </is>
      </c>
      <c r="I4" s="4">
        <f>COUNTIF('04_Task_Pipeline'!$B:$B,A4)</f>
        <v/>
      </c>
      <c r="J4" s="4">
        <f>COUNTIFS('04_Task_Pipeline'!$B:$B,A4,'04_Task_Pipeline'!$F:$F,"Completed")</f>
        <v/>
      </c>
      <c r="K4" s="6">
        <f>IF(I4=0,0,J4/I4)</f>
        <v/>
      </c>
      <c r="L4" s="4">
        <f>COUNTIFS('04_Task_Pipeline'!$B:$B,A4,'04_Task_Pipeline'!$F:$F,"Blocked")</f>
        <v/>
      </c>
      <c r="M4" s="7">
        <f>F4-$Q$1</f>
        <v/>
      </c>
      <c r="N4" s="4">
        <f>IF(G4="Completed","Completed",IF(L4&gt;0,"Blocked",IF(M4&lt;0,"SLA Breach",IF(AND(M4&lt;=7,K4&lt;0.75),"At Risk",IF(AND(M4&lt;=14,K4&lt;0.5),"At Risk","On Track")))))</f>
        <v/>
      </c>
    </row>
    <row r="5">
      <c r="A5" s="4" t="inlineStr">
        <is>
          <t>C004</t>
        </is>
      </c>
      <c r="B5" s="4" t="inlineStr">
        <is>
          <t>Bridge Industries</t>
        </is>
      </c>
      <c r="C5" s="4" t="inlineStr">
        <is>
          <t>Logistics</t>
        </is>
      </c>
      <c r="D5" s="4" t="n">
        <v>12</v>
      </c>
      <c r="E5" s="5" t="n">
        <v>46268</v>
      </c>
      <c r="F5" s="5" t="n">
        <v>46320</v>
      </c>
      <c r="G5" s="4" t="inlineStr">
        <is>
          <t>Documents</t>
        </is>
      </c>
      <c r="H5" s="4" t="inlineStr">
        <is>
          <t>On Track</t>
        </is>
      </c>
      <c r="I5" s="4">
        <f>COUNTIF('04_Task_Pipeline'!$B:$B,A5)</f>
        <v/>
      </c>
      <c r="J5" s="4">
        <f>COUNTIFS('04_Task_Pipeline'!$B:$B,A5,'04_Task_Pipeline'!$F:$F,"Completed")</f>
        <v/>
      </c>
      <c r="K5" s="6">
        <f>IF(I5=0,0,J5/I5)</f>
        <v/>
      </c>
      <c r="L5" s="4">
        <f>COUNTIFS('04_Task_Pipeline'!$B:$B,A5,'04_Task_Pipeline'!$F:$F,"Blocked")</f>
        <v/>
      </c>
      <c r="M5" s="7">
        <f>F5-$Q$1</f>
        <v/>
      </c>
      <c r="N5" s="4">
        <f>IF(G5="Completed","Completed",IF(L5&gt;0,"Blocked",IF(M5&lt;0,"SLA Breach",IF(AND(M5&lt;=7,K5&lt;0.75),"At Risk",IF(AND(M5&lt;=14,K5&lt;0.5),"At Risk","On Track")))))</f>
        <v/>
      </c>
    </row>
    <row r="6">
      <c r="A6" s="4" t="inlineStr">
        <is>
          <t>C005</t>
        </is>
      </c>
      <c r="B6" s="4" t="inlineStr">
        <is>
          <t>Nimbus Group</t>
        </is>
      </c>
      <c r="C6" s="4" t="inlineStr">
        <is>
          <t>E-commerce</t>
        </is>
      </c>
      <c r="D6" s="4" t="n">
        <v>32</v>
      </c>
      <c r="E6" s="5" t="n">
        <v>46228</v>
      </c>
      <c r="F6" s="5" t="n">
        <v>46272</v>
      </c>
      <c r="G6" s="4" t="inlineStr">
        <is>
          <t>Completed</t>
        </is>
      </c>
      <c r="H6" s="4" t="inlineStr">
        <is>
          <t>Completed</t>
        </is>
      </c>
      <c r="I6" s="4">
        <f>COUNTIF('04_Task_Pipeline'!$B:$B,A6)</f>
        <v/>
      </c>
      <c r="J6" s="4">
        <f>COUNTIFS('04_Task_Pipeline'!$B:$B,A6,'04_Task_Pipeline'!$F:$F,"Completed")</f>
        <v/>
      </c>
      <c r="K6" s="6">
        <f>IF(I6=0,0,J6/I6)</f>
        <v/>
      </c>
      <c r="L6" s="4">
        <f>COUNTIFS('04_Task_Pipeline'!$B:$B,A6,'04_Task_Pipeline'!$F:$F,"Blocked")</f>
        <v/>
      </c>
      <c r="M6" s="7">
        <f>F6-$Q$1</f>
        <v/>
      </c>
      <c r="N6" s="4">
        <f>IF(G6="Completed","Completed",IF(L6&gt;0,"Blocked",IF(M6&lt;0,"SLA Breach",IF(AND(M6&lt;=7,K6&lt;0.75),"At Risk",IF(AND(M6&lt;=14,K6&lt;0.5),"At Risk","On Track")))))</f>
        <v/>
      </c>
    </row>
    <row r="7">
      <c r="A7" s="4" t="inlineStr">
        <is>
          <t>C006</t>
        </is>
      </c>
      <c r="B7" s="4" t="inlineStr">
        <is>
          <t>Wavelength Works</t>
        </is>
      </c>
      <c r="C7" s="4" t="inlineStr">
        <is>
          <t>EdTech</t>
        </is>
      </c>
      <c r="D7" s="4" t="n">
        <v>32</v>
      </c>
      <c r="E7" s="5" t="n">
        <v>46224</v>
      </c>
      <c r="F7" s="5" t="n">
        <v>46261</v>
      </c>
      <c r="G7" s="4" t="inlineStr">
        <is>
          <t>Payroll Setup</t>
        </is>
      </c>
      <c r="H7" s="4" t="inlineStr">
        <is>
          <t>Blocked</t>
        </is>
      </c>
      <c r="I7" s="4">
        <f>COUNTIF('04_Task_Pipeline'!$B:$B,A7)</f>
        <v/>
      </c>
      <c r="J7" s="4">
        <f>COUNTIFS('04_Task_Pipeline'!$B:$B,A7,'04_Task_Pipeline'!$F:$F,"Completed")</f>
        <v/>
      </c>
      <c r="K7" s="6">
        <f>IF(I7=0,0,J7/I7)</f>
        <v/>
      </c>
      <c r="L7" s="4">
        <f>COUNTIFS('04_Task_Pipeline'!$B:$B,A7,'04_Task_Pipeline'!$F:$F,"Blocked")</f>
        <v/>
      </c>
      <c r="M7" s="7">
        <f>F7-$Q$1</f>
        <v/>
      </c>
      <c r="N7" s="4">
        <f>IF(G7="Completed","Completed",IF(L7&gt;0,"Blocked",IF(M7&lt;0,"SLA Breach",IF(AND(M7&lt;=7,K7&lt;0.75),"At Risk",IF(AND(M7&lt;=14,K7&lt;0.5),"At Risk","On Track")))))</f>
        <v/>
      </c>
    </row>
    <row r="8">
      <c r="A8" s="4" t="inlineStr">
        <is>
          <t>C007</t>
        </is>
      </c>
      <c r="B8" s="4" t="inlineStr">
        <is>
          <t>Bridge Technologies</t>
        </is>
      </c>
      <c r="C8" s="4" t="inlineStr">
        <is>
          <t>Hospitality</t>
        </is>
      </c>
      <c r="D8" s="4" t="n">
        <v>29</v>
      </c>
      <c r="E8" s="5" t="n">
        <v>46214</v>
      </c>
      <c r="F8" s="5" t="n">
        <v>46273</v>
      </c>
      <c r="G8" s="4" t="inlineStr">
        <is>
          <t>Completed</t>
        </is>
      </c>
      <c r="H8" s="4" t="inlineStr">
        <is>
          <t>Completed</t>
        </is>
      </c>
      <c r="I8" s="4">
        <f>COUNTIF('04_Task_Pipeline'!$B:$B,A8)</f>
        <v/>
      </c>
      <c r="J8" s="4">
        <f>COUNTIFS('04_Task_Pipeline'!$B:$B,A8,'04_Task_Pipeline'!$F:$F,"Completed")</f>
        <v/>
      </c>
      <c r="K8" s="6">
        <f>IF(I8=0,0,J8/I8)</f>
        <v/>
      </c>
      <c r="L8" s="4">
        <f>COUNTIFS('04_Task_Pipeline'!$B:$B,A8,'04_Task_Pipeline'!$F:$F,"Blocked")</f>
        <v/>
      </c>
      <c r="M8" s="7">
        <f>F8-$Q$1</f>
        <v/>
      </c>
      <c r="N8" s="4">
        <f>IF(G8="Completed","Completed",IF(L8&gt;0,"Blocked",IF(M8&lt;0,"SLA Breach",IF(AND(M8&lt;=7,K8&lt;0.75),"At Risk",IF(AND(M8&lt;=14,K8&lt;0.5),"At Risk","On Track")))))</f>
        <v/>
      </c>
    </row>
    <row r="9">
      <c r="A9" s="4" t="inlineStr">
        <is>
          <t>C008</t>
        </is>
      </c>
      <c r="B9" s="4" t="inlineStr">
        <is>
          <t>Union Solutions</t>
        </is>
      </c>
      <c r="C9" s="4" t="inlineStr">
        <is>
          <t>Media &amp; Entertainment</t>
        </is>
      </c>
      <c r="D9" s="4" t="n">
        <v>17</v>
      </c>
      <c r="E9" s="5" t="n">
        <v>46269</v>
      </c>
      <c r="F9" s="5" t="n">
        <v>46317</v>
      </c>
      <c r="G9" s="4" t="inlineStr">
        <is>
          <t>Employee Upload</t>
        </is>
      </c>
      <c r="H9" s="4" t="inlineStr">
        <is>
          <t>On Track</t>
        </is>
      </c>
      <c r="I9" s="4">
        <f>COUNTIF('04_Task_Pipeline'!$B:$B,A9)</f>
        <v/>
      </c>
      <c r="J9" s="4">
        <f>COUNTIFS('04_Task_Pipeline'!$B:$B,A9,'04_Task_Pipeline'!$F:$F,"Completed")</f>
        <v/>
      </c>
      <c r="K9" s="6">
        <f>IF(I9=0,0,J9/I9)</f>
        <v/>
      </c>
      <c r="L9" s="4">
        <f>COUNTIFS('04_Task_Pipeline'!$B:$B,A9,'04_Task_Pipeline'!$F:$F,"Blocked")</f>
        <v/>
      </c>
      <c r="M9" s="7">
        <f>F9-$Q$1</f>
        <v/>
      </c>
      <c r="N9" s="4">
        <f>IF(G9="Completed","Completed",IF(L9&gt;0,"Blocked",IF(M9&lt;0,"SLA Breach",IF(AND(M9&lt;=7,K9&lt;0.75),"At Risk",IF(AND(M9&lt;=14,K9&lt;0.5),"At Risk","On Track")))))</f>
        <v/>
      </c>
    </row>
    <row r="10">
      <c r="A10" s="4" t="inlineStr">
        <is>
          <t>C009</t>
        </is>
      </c>
      <c r="B10" s="4" t="inlineStr">
        <is>
          <t>Ironclad Industries</t>
        </is>
      </c>
      <c r="C10" s="4" t="inlineStr">
        <is>
          <t>Healthcare</t>
        </is>
      </c>
      <c r="D10" s="4" t="n">
        <v>12</v>
      </c>
      <c r="E10" s="5" t="n">
        <v>46237</v>
      </c>
      <c r="F10" s="5" t="n">
        <v>46293</v>
      </c>
      <c r="G10" s="4" t="inlineStr">
        <is>
          <t>Payroll Setup</t>
        </is>
      </c>
      <c r="H10" s="4" t="inlineStr">
        <is>
          <t>On Track</t>
        </is>
      </c>
      <c r="I10" s="4">
        <f>COUNTIF('04_Task_Pipeline'!$B:$B,A10)</f>
        <v/>
      </c>
      <c r="J10" s="4">
        <f>COUNTIFS('04_Task_Pipeline'!$B:$B,A10,'04_Task_Pipeline'!$F:$F,"Completed")</f>
        <v/>
      </c>
      <c r="K10" s="6">
        <f>IF(I10=0,0,J10/I10)</f>
        <v/>
      </c>
      <c r="L10" s="4">
        <f>COUNTIFS('04_Task_Pipeline'!$B:$B,A10,'04_Task_Pipeline'!$F:$F,"Blocked")</f>
        <v/>
      </c>
      <c r="M10" s="7">
        <f>F10-$Q$1</f>
        <v/>
      </c>
      <c r="N10" s="4">
        <f>IF(G10="Completed","Completed",IF(L10&gt;0,"Blocked",IF(M10&lt;0,"SLA Breach",IF(AND(M10&lt;=7,K10&lt;0.75),"At Risk",IF(AND(M10&lt;=14,K10&lt;0.5),"At Risk","On Track")))))</f>
        <v/>
      </c>
    </row>
    <row r="11">
      <c r="A11" s="4" t="inlineStr">
        <is>
          <t>C010</t>
        </is>
      </c>
      <c r="B11" s="4" t="inlineStr">
        <is>
          <t>Fjord Group</t>
        </is>
      </c>
      <c r="C11" s="4" t="inlineStr">
        <is>
          <t>IT Services</t>
        </is>
      </c>
      <c r="D11" s="4" t="n">
        <v>15</v>
      </c>
      <c r="E11" s="5" t="n">
        <v>46224</v>
      </c>
      <c r="F11" s="5" t="n">
        <v>46287</v>
      </c>
      <c r="G11" s="4" t="inlineStr">
        <is>
          <t>Completed</t>
        </is>
      </c>
      <c r="H11" s="4" t="inlineStr">
        <is>
          <t>Completed</t>
        </is>
      </c>
      <c r="I11" s="4">
        <f>COUNTIF('04_Task_Pipeline'!$B:$B,A11)</f>
        <v/>
      </c>
      <c r="J11" s="4">
        <f>COUNTIFS('04_Task_Pipeline'!$B:$B,A11,'04_Task_Pipeline'!$F:$F,"Completed")</f>
        <v/>
      </c>
      <c r="K11" s="6">
        <f>IF(I11=0,0,J11/I11)</f>
        <v/>
      </c>
      <c r="L11" s="4">
        <f>COUNTIFS('04_Task_Pipeline'!$B:$B,A11,'04_Task_Pipeline'!$F:$F,"Blocked")</f>
        <v/>
      </c>
      <c r="M11" s="7">
        <f>F11-$Q$1</f>
        <v/>
      </c>
      <c r="N11" s="4">
        <f>IF(G11="Completed","Completed",IF(L11&gt;0,"Blocked",IF(M11&lt;0,"SLA Breach",IF(AND(M11&lt;=7,K11&lt;0.75),"At Risk",IF(AND(M11&lt;=14,K11&lt;0.5),"At Risk","On Track")))))</f>
        <v/>
      </c>
    </row>
    <row r="12">
      <c r="A12" s="4" t="inlineStr">
        <is>
          <t>C011</t>
        </is>
      </c>
      <c r="B12" s="4" t="inlineStr">
        <is>
          <t>Quill Industries</t>
        </is>
      </c>
      <c r="C12" s="4" t="inlineStr">
        <is>
          <t>Retail</t>
        </is>
      </c>
      <c r="D12" s="4" t="n">
        <v>14</v>
      </c>
      <c r="E12" s="5" t="n">
        <v>46258</v>
      </c>
      <c r="F12" s="5" t="n">
        <v>46315</v>
      </c>
      <c r="G12" s="4" t="inlineStr">
        <is>
          <t>Documents</t>
        </is>
      </c>
      <c r="H12" s="4" t="inlineStr">
        <is>
          <t>On Track</t>
        </is>
      </c>
      <c r="I12" s="4">
        <f>COUNTIF('04_Task_Pipeline'!$B:$B,A12)</f>
        <v/>
      </c>
      <c r="J12" s="4">
        <f>COUNTIFS('04_Task_Pipeline'!$B:$B,A12,'04_Task_Pipeline'!$F:$F,"Completed")</f>
        <v/>
      </c>
      <c r="K12" s="6">
        <f>IF(I12=0,0,J12/I12)</f>
        <v/>
      </c>
      <c r="L12" s="4">
        <f>COUNTIFS('04_Task_Pipeline'!$B:$B,A12,'04_Task_Pipeline'!$F:$F,"Blocked")</f>
        <v/>
      </c>
      <c r="M12" s="7">
        <f>F12-$Q$1</f>
        <v/>
      </c>
      <c r="N12" s="4">
        <f>IF(G12="Completed","Completed",IF(L12&gt;0,"Blocked",IF(M12&lt;0,"SLA Breach",IF(AND(M12&lt;=7,K12&lt;0.75),"At Risk",IF(AND(M12&lt;=14,K12&lt;0.5),"At Risk","On Track")))))</f>
        <v/>
      </c>
    </row>
    <row r="13">
      <c r="A13" s="4" t="inlineStr">
        <is>
          <t>C012</t>
        </is>
      </c>
      <c r="B13" s="4" t="inlineStr">
        <is>
          <t>Onyx Services</t>
        </is>
      </c>
      <c r="C13" s="4" t="inlineStr">
        <is>
          <t>Hospitality</t>
        </is>
      </c>
      <c r="D13" s="4" t="n">
        <v>33</v>
      </c>
      <c r="E13" s="5" t="n">
        <v>46223</v>
      </c>
      <c r="F13" s="5" t="n">
        <v>46279</v>
      </c>
      <c r="G13" s="4" t="inlineStr">
        <is>
          <t>Approval</t>
        </is>
      </c>
      <c r="H13" s="4" t="inlineStr">
        <is>
          <t>At Risk</t>
        </is>
      </c>
      <c r="I13" s="4">
        <f>COUNTIF('04_Task_Pipeline'!$B:$B,A13)</f>
        <v/>
      </c>
      <c r="J13" s="4">
        <f>COUNTIFS('04_Task_Pipeline'!$B:$B,A13,'04_Task_Pipeline'!$F:$F,"Completed")</f>
        <v/>
      </c>
      <c r="K13" s="6">
        <f>IF(I13=0,0,J13/I13)</f>
        <v/>
      </c>
      <c r="L13" s="4">
        <f>COUNTIFS('04_Task_Pipeline'!$B:$B,A13,'04_Task_Pipeline'!$F:$F,"Blocked")</f>
        <v/>
      </c>
      <c r="M13" s="7">
        <f>F13-$Q$1</f>
        <v/>
      </c>
      <c r="N13" s="4">
        <f>IF(G13="Completed","Completed",IF(L13&gt;0,"Blocked",IF(M13&lt;0,"SLA Breach",IF(AND(M13&lt;=7,K13&lt;0.75),"At Risk",IF(AND(M13&lt;=14,K13&lt;0.5),"At Risk","On Track")))))</f>
        <v/>
      </c>
    </row>
    <row r="14">
      <c r="A14" s="4" t="inlineStr">
        <is>
          <t>C013</t>
        </is>
      </c>
      <c r="B14" s="4" t="inlineStr">
        <is>
          <t>Zenith Labs</t>
        </is>
      </c>
      <c r="C14" s="4" t="inlineStr">
        <is>
          <t>IT Services</t>
        </is>
      </c>
      <c r="D14" s="4" t="n">
        <v>9</v>
      </c>
      <c r="E14" s="5" t="n">
        <v>46258</v>
      </c>
      <c r="F14" s="5" t="n">
        <v>46292</v>
      </c>
      <c r="G14" s="4" t="inlineStr">
        <is>
          <t>Approval</t>
        </is>
      </c>
      <c r="H14" s="4" t="inlineStr">
        <is>
          <t>On Track</t>
        </is>
      </c>
      <c r="I14" s="4">
        <f>COUNTIF('04_Task_Pipeline'!$B:$B,A14)</f>
        <v/>
      </c>
      <c r="J14" s="4">
        <f>COUNTIFS('04_Task_Pipeline'!$B:$B,A14,'04_Task_Pipeline'!$F:$F,"Completed")</f>
        <v/>
      </c>
      <c r="K14" s="6">
        <f>IF(I14=0,0,J14/I14)</f>
        <v/>
      </c>
      <c r="L14" s="4">
        <f>COUNTIFS('04_Task_Pipeline'!$B:$B,A14,'04_Task_Pipeline'!$F:$F,"Blocked")</f>
        <v/>
      </c>
      <c r="M14" s="7">
        <f>F14-$Q$1</f>
        <v/>
      </c>
      <c r="N14" s="4">
        <f>IF(G14="Completed","Completed",IF(L14&gt;0,"Blocked",IF(M14&lt;0,"SLA Breach",IF(AND(M14&lt;=7,K14&lt;0.75),"At Risk",IF(AND(M14&lt;=14,K14&lt;0.5),"At Risk","On Track")))))</f>
        <v/>
      </c>
    </row>
    <row r="15">
      <c r="A15" s="4" t="inlineStr">
        <is>
          <t>C014</t>
        </is>
      </c>
      <c r="B15" s="4" t="inlineStr">
        <is>
          <t>Quill Labs</t>
        </is>
      </c>
      <c r="C15" s="4" t="inlineStr">
        <is>
          <t>IT Services</t>
        </is>
      </c>
      <c r="D15" s="4" t="n">
        <v>32</v>
      </c>
      <c r="E15" s="5" t="n">
        <v>46236</v>
      </c>
      <c r="F15" s="5" t="n">
        <v>46291</v>
      </c>
      <c r="G15" s="4" t="inlineStr">
        <is>
          <t>Customer Review</t>
        </is>
      </c>
      <c r="H15" s="4" t="inlineStr">
        <is>
          <t>On Track</t>
        </is>
      </c>
      <c r="I15" s="4">
        <f>COUNTIF('04_Task_Pipeline'!$B:$B,A15)</f>
        <v/>
      </c>
      <c r="J15" s="4">
        <f>COUNTIFS('04_Task_Pipeline'!$B:$B,A15,'04_Task_Pipeline'!$F:$F,"Completed")</f>
        <v/>
      </c>
      <c r="K15" s="6">
        <f>IF(I15=0,0,J15/I15)</f>
        <v/>
      </c>
      <c r="L15" s="4">
        <f>COUNTIFS('04_Task_Pipeline'!$B:$B,A15,'04_Task_Pipeline'!$F:$F,"Blocked")</f>
        <v/>
      </c>
      <c r="M15" s="7">
        <f>F15-$Q$1</f>
        <v/>
      </c>
      <c r="N15" s="4">
        <f>IF(G15="Completed","Completed",IF(L15&gt;0,"Blocked",IF(M15&lt;0,"SLA Breach",IF(AND(M15&lt;=7,K15&lt;0.75),"At Risk",IF(AND(M15&lt;=14,K15&lt;0.5),"At Risk","On Track")))))</f>
        <v/>
      </c>
    </row>
    <row r="16">
      <c r="A16" s="4" t="inlineStr">
        <is>
          <t>C015</t>
        </is>
      </c>
      <c r="B16" s="4" t="inlineStr">
        <is>
          <t>Novo Solutions</t>
        </is>
      </c>
      <c r="C16" s="4" t="inlineStr">
        <is>
          <t>EdTech</t>
        </is>
      </c>
      <c r="D16" s="4" t="n">
        <v>5</v>
      </c>
      <c r="E16" s="5" t="n">
        <v>46251</v>
      </c>
      <c r="F16" s="5" t="n">
        <v>46298</v>
      </c>
      <c r="G16" s="4" t="inlineStr">
        <is>
          <t>Employee Upload</t>
        </is>
      </c>
      <c r="H16" s="4" t="inlineStr">
        <is>
          <t>On Track</t>
        </is>
      </c>
      <c r="I16" s="4">
        <f>COUNTIF('04_Task_Pipeline'!$B:$B,A16)</f>
        <v/>
      </c>
      <c r="J16" s="4">
        <f>COUNTIFS('04_Task_Pipeline'!$B:$B,A16,'04_Task_Pipeline'!$F:$F,"Completed")</f>
        <v/>
      </c>
      <c r="K16" s="6">
        <f>IF(I16=0,0,J16/I16)</f>
        <v/>
      </c>
      <c r="L16" s="4">
        <f>COUNTIFS('04_Task_Pipeline'!$B:$B,A16,'04_Task_Pipeline'!$F:$F,"Blocked")</f>
        <v/>
      </c>
      <c r="M16" s="7">
        <f>F16-$Q$1</f>
        <v/>
      </c>
      <c r="N16" s="4">
        <f>IF(G16="Completed","Completed",IF(L16&gt;0,"Blocked",IF(M16&lt;0,"SLA Breach",IF(AND(M16&lt;=7,K16&lt;0.75),"At Risk",IF(AND(M16&lt;=14,K16&lt;0.5),"At Risk","On Track")))))</f>
        <v/>
      </c>
    </row>
    <row r="17">
      <c r="A17" s="4" t="inlineStr">
        <is>
          <t>C016</t>
        </is>
      </c>
      <c r="B17" s="4" t="inlineStr">
        <is>
          <t>Zephyr Systems</t>
        </is>
      </c>
      <c r="C17" s="4" t="inlineStr">
        <is>
          <t>IT Services</t>
        </is>
      </c>
      <c r="D17" s="4" t="n">
        <v>12</v>
      </c>
      <c r="E17" s="5" t="n">
        <v>46220</v>
      </c>
      <c r="F17" s="5" t="n">
        <v>46252</v>
      </c>
      <c r="G17" s="4" t="inlineStr">
        <is>
          <t>Validation</t>
        </is>
      </c>
      <c r="H17" s="4" t="inlineStr">
        <is>
          <t>At Risk</t>
        </is>
      </c>
      <c r="I17" s="4">
        <f>COUNTIF('04_Task_Pipeline'!$B:$B,A17)</f>
        <v/>
      </c>
      <c r="J17" s="4">
        <f>COUNTIFS('04_Task_Pipeline'!$B:$B,A17,'04_Task_Pipeline'!$F:$F,"Completed")</f>
        <v/>
      </c>
      <c r="K17" s="6">
        <f>IF(I17=0,0,J17/I17)</f>
        <v/>
      </c>
      <c r="L17" s="4">
        <f>COUNTIFS('04_Task_Pipeline'!$B:$B,A17,'04_Task_Pipeline'!$F:$F,"Blocked")</f>
        <v/>
      </c>
      <c r="M17" s="7">
        <f>F17-$Q$1</f>
        <v/>
      </c>
      <c r="N17" s="4">
        <f>IF(G17="Completed","Completed",IF(L17&gt;0,"Blocked",IF(M17&lt;0,"SLA Breach",IF(AND(M17&lt;=7,K17&lt;0.75),"At Risk",IF(AND(M17&lt;=14,K17&lt;0.5),"At Risk","On Track")))))</f>
        <v/>
      </c>
    </row>
    <row r="18">
      <c r="A18" s="4" t="inlineStr">
        <is>
          <t>C017</t>
        </is>
      </c>
      <c r="B18" s="4" t="inlineStr">
        <is>
          <t>Vertex Group</t>
        </is>
      </c>
      <c r="C18" s="4" t="inlineStr">
        <is>
          <t>E-commerce</t>
        </is>
      </c>
      <c r="D18" s="4" t="n">
        <v>24</v>
      </c>
      <c r="E18" s="5" t="n">
        <v>46241</v>
      </c>
      <c r="F18" s="5" t="n">
        <v>46302</v>
      </c>
      <c r="G18" s="4" t="inlineStr">
        <is>
          <t>Approval</t>
        </is>
      </c>
      <c r="H18" s="4" t="inlineStr">
        <is>
          <t>On Track</t>
        </is>
      </c>
      <c r="I18" s="4">
        <f>COUNTIF('04_Task_Pipeline'!$B:$B,A18)</f>
        <v/>
      </c>
      <c r="J18" s="4">
        <f>COUNTIFS('04_Task_Pipeline'!$B:$B,A18,'04_Task_Pipeline'!$F:$F,"Completed")</f>
        <v/>
      </c>
      <c r="K18" s="6">
        <f>IF(I18=0,0,J18/I18)</f>
        <v/>
      </c>
      <c r="L18" s="4">
        <f>COUNTIFS('04_Task_Pipeline'!$B:$B,A18,'04_Task_Pipeline'!$F:$F,"Blocked")</f>
        <v/>
      </c>
      <c r="M18" s="7">
        <f>F18-$Q$1</f>
        <v/>
      </c>
      <c r="N18" s="4">
        <f>IF(G18="Completed","Completed",IF(L18&gt;0,"Blocked",IF(M18&lt;0,"SLA Breach",IF(AND(M18&lt;=7,K18&lt;0.75),"At Risk",IF(AND(M18&lt;=14,K18&lt;0.5),"At Risk","On Track")))))</f>
        <v/>
      </c>
    </row>
    <row r="19">
      <c r="A19" s="4" t="inlineStr">
        <is>
          <t>C018</t>
        </is>
      </c>
      <c r="B19" s="4" t="inlineStr">
        <is>
          <t>Union Systems</t>
        </is>
      </c>
      <c r="C19" s="4" t="inlineStr">
        <is>
          <t>Healthcare</t>
        </is>
      </c>
      <c r="D19" s="4" t="n">
        <v>10</v>
      </c>
      <c r="E19" s="5" t="n">
        <v>46252</v>
      </c>
      <c r="F19" s="5" t="n">
        <v>46282</v>
      </c>
      <c r="G19" s="4" t="inlineStr">
        <is>
          <t>Documents</t>
        </is>
      </c>
      <c r="H19" s="4" t="inlineStr">
        <is>
          <t>At Risk</t>
        </is>
      </c>
      <c r="I19" s="4">
        <f>COUNTIF('04_Task_Pipeline'!$B:$B,A19)</f>
        <v/>
      </c>
      <c r="J19" s="4">
        <f>COUNTIFS('04_Task_Pipeline'!$B:$B,A19,'04_Task_Pipeline'!$F:$F,"Completed")</f>
        <v/>
      </c>
      <c r="K19" s="6">
        <f>IF(I19=0,0,J19/I19)</f>
        <v/>
      </c>
      <c r="L19" s="4">
        <f>COUNTIFS('04_Task_Pipeline'!$B:$B,A19,'04_Task_Pipeline'!$F:$F,"Blocked")</f>
        <v/>
      </c>
      <c r="M19" s="7">
        <f>F19-$Q$1</f>
        <v/>
      </c>
      <c r="N19" s="4">
        <f>IF(G19="Completed","Completed",IF(L19&gt;0,"Blocked",IF(M19&lt;0,"SLA Breach",IF(AND(M19&lt;=7,K19&lt;0.75),"At Risk",IF(AND(M19&lt;=14,K19&lt;0.5),"At Risk","On Track")))))</f>
        <v/>
      </c>
    </row>
    <row r="20">
      <c r="A20" s="4" t="inlineStr">
        <is>
          <t>C019</t>
        </is>
      </c>
      <c r="B20" s="4" t="inlineStr">
        <is>
          <t>Juniper Technologies</t>
        </is>
      </c>
      <c r="C20" s="4" t="inlineStr">
        <is>
          <t>Media &amp; Entertainment</t>
        </is>
      </c>
      <c r="D20" s="4" t="n">
        <v>22</v>
      </c>
      <c r="E20" s="5" t="n">
        <v>46213</v>
      </c>
      <c r="F20" s="5" t="n">
        <v>46249</v>
      </c>
      <c r="G20" s="4" t="inlineStr">
        <is>
          <t>Approval</t>
        </is>
      </c>
      <c r="H20" s="4" t="inlineStr">
        <is>
          <t>At Risk</t>
        </is>
      </c>
      <c r="I20" s="4">
        <f>COUNTIF('04_Task_Pipeline'!$B:$B,A20)</f>
        <v/>
      </c>
      <c r="J20" s="4">
        <f>COUNTIFS('04_Task_Pipeline'!$B:$B,A20,'04_Task_Pipeline'!$F:$F,"Completed")</f>
        <v/>
      </c>
      <c r="K20" s="6">
        <f>IF(I20=0,0,J20/I20)</f>
        <v/>
      </c>
      <c r="L20" s="4">
        <f>COUNTIFS('04_Task_Pipeline'!$B:$B,A20,'04_Task_Pipeline'!$F:$F,"Blocked")</f>
        <v/>
      </c>
      <c r="M20" s="7">
        <f>F20-$Q$1</f>
        <v/>
      </c>
      <c r="N20" s="4">
        <f>IF(G20="Completed","Completed",IF(L20&gt;0,"Blocked",IF(M20&lt;0,"SLA Breach",IF(AND(M20&lt;=7,K20&lt;0.75),"At Risk",IF(AND(M20&lt;=14,K20&lt;0.5),"At Risk","On Track")))))</f>
        <v/>
      </c>
    </row>
    <row r="21">
      <c r="A21" s="4" t="inlineStr">
        <is>
          <t>C020</t>
        </is>
      </c>
      <c r="B21" s="4" t="inlineStr">
        <is>
          <t>Indus Industries</t>
        </is>
      </c>
      <c r="C21" s="4" t="inlineStr">
        <is>
          <t>Manufacturing</t>
        </is>
      </c>
      <c r="D21" s="4" t="n">
        <v>15</v>
      </c>
      <c r="E21" s="5" t="n">
        <v>46229</v>
      </c>
      <c r="F21" s="5" t="n">
        <v>46284</v>
      </c>
      <c r="G21" s="4" t="inlineStr">
        <is>
          <t>Payroll Setup</t>
        </is>
      </c>
      <c r="H21" s="4" t="inlineStr">
        <is>
          <t>Blocked</t>
        </is>
      </c>
      <c r="I21" s="4">
        <f>COUNTIF('04_Task_Pipeline'!$B:$B,A21)</f>
        <v/>
      </c>
      <c r="J21" s="4">
        <f>COUNTIFS('04_Task_Pipeline'!$B:$B,A21,'04_Task_Pipeline'!$F:$F,"Completed")</f>
        <v/>
      </c>
      <c r="K21" s="6">
        <f>IF(I21=0,0,J21/I21)</f>
        <v/>
      </c>
      <c r="L21" s="4">
        <f>COUNTIFS('04_Task_Pipeline'!$B:$B,A21,'04_Task_Pipeline'!$F:$F,"Blocked")</f>
        <v/>
      </c>
      <c r="M21" s="7">
        <f>F21-$Q$1</f>
        <v/>
      </c>
      <c r="N21" s="4">
        <f>IF(G21="Completed","Completed",IF(L21&gt;0,"Blocked",IF(M21&lt;0,"SLA Breach",IF(AND(M21&lt;=7,K21&lt;0.75),"At Risk",IF(AND(M21&lt;=14,K21&lt;0.5),"At Risk","On Track")))))</f>
        <v/>
      </c>
    </row>
    <row r="22">
      <c r="A22" s="4" t="inlineStr">
        <is>
          <t>C021</t>
        </is>
      </c>
      <c r="B22" s="4" t="inlineStr">
        <is>
          <t>Redwood Services</t>
        </is>
      </c>
      <c r="C22" s="4" t="inlineStr">
        <is>
          <t>Healthcare</t>
        </is>
      </c>
      <c r="D22" s="4" t="n">
        <v>39</v>
      </c>
      <c r="E22" s="5" t="n">
        <v>46250</v>
      </c>
      <c r="F22" s="5" t="n">
        <v>46316</v>
      </c>
      <c r="G22" s="4" t="inlineStr">
        <is>
          <t>Approval</t>
        </is>
      </c>
      <c r="H22" s="4" t="inlineStr">
        <is>
          <t>On Track</t>
        </is>
      </c>
      <c r="I22" s="4">
        <f>COUNTIF('04_Task_Pipeline'!$B:$B,A22)</f>
        <v/>
      </c>
      <c r="J22" s="4">
        <f>COUNTIFS('04_Task_Pipeline'!$B:$B,A22,'04_Task_Pipeline'!$F:$F,"Completed")</f>
        <v/>
      </c>
      <c r="K22" s="6">
        <f>IF(I22=0,0,J22/I22)</f>
        <v/>
      </c>
      <c r="L22" s="4">
        <f>COUNTIFS('04_Task_Pipeline'!$B:$B,A22,'04_Task_Pipeline'!$F:$F,"Blocked")</f>
        <v/>
      </c>
      <c r="M22" s="7">
        <f>F22-$Q$1</f>
        <v/>
      </c>
      <c r="N22" s="4">
        <f>IF(G22="Completed","Completed",IF(L22&gt;0,"Blocked",IF(M22&lt;0,"SLA Breach",IF(AND(M22&lt;=7,K22&lt;0.75),"At Risk",IF(AND(M22&lt;=14,K22&lt;0.5),"At Risk","On Track")))))</f>
        <v/>
      </c>
    </row>
    <row r="23">
      <c r="A23" s="4" t="inlineStr">
        <is>
          <t>C022</t>
        </is>
      </c>
      <c r="B23" s="4" t="inlineStr">
        <is>
          <t>Monarch Works</t>
        </is>
      </c>
      <c r="C23" s="4" t="inlineStr">
        <is>
          <t>Manufacturing</t>
        </is>
      </c>
      <c r="D23" s="4" t="n">
        <v>32</v>
      </c>
      <c r="E23" s="5" t="n">
        <v>46257</v>
      </c>
      <c r="F23" s="5" t="n">
        <v>46315</v>
      </c>
      <c r="G23" s="4" t="inlineStr">
        <is>
          <t>Payroll Setup</t>
        </is>
      </c>
      <c r="H23" s="4" t="inlineStr">
        <is>
          <t>On Track</t>
        </is>
      </c>
      <c r="I23" s="4">
        <f>COUNTIF('04_Task_Pipeline'!$B:$B,A23)</f>
        <v/>
      </c>
      <c r="J23" s="4">
        <f>COUNTIFS('04_Task_Pipeline'!$B:$B,A23,'04_Task_Pipeline'!$F:$F,"Completed")</f>
        <v/>
      </c>
      <c r="K23" s="6">
        <f>IF(I23=0,0,J23/I23)</f>
        <v/>
      </c>
      <c r="L23" s="4">
        <f>COUNTIFS('04_Task_Pipeline'!$B:$B,A23,'04_Task_Pipeline'!$F:$F,"Blocked")</f>
        <v/>
      </c>
      <c r="M23" s="7">
        <f>F23-$Q$1</f>
        <v/>
      </c>
      <c r="N23" s="4">
        <f>IF(G23="Completed","Completed",IF(L23&gt;0,"Blocked",IF(M23&lt;0,"SLA Breach",IF(AND(M23&lt;=7,K23&lt;0.75),"At Risk",IF(AND(M23&lt;=14,K23&lt;0.5),"At Risk","On Track")))))</f>
        <v/>
      </c>
    </row>
    <row r="24">
      <c r="A24" s="4" t="inlineStr">
        <is>
          <t>C023</t>
        </is>
      </c>
      <c r="B24" s="4" t="inlineStr">
        <is>
          <t>Delta Services</t>
        </is>
      </c>
      <c r="C24" s="4" t="inlineStr">
        <is>
          <t>Logistics</t>
        </is>
      </c>
      <c r="D24" s="4" t="n">
        <v>37</v>
      </c>
      <c r="E24" s="5" t="n">
        <v>46265</v>
      </c>
      <c r="F24" s="5" t="n">
        <v>46313</v>
      </c>
      <c r="G24" s="4" t="inlineStr">
        <is>
          <t>Employee Upload</t>
        </is>
      </c>
      <c r="H24" s="4" t="inlineStr">
        <is>
          <t>On Track</t>
        </is>
      </c>
      <c r="I24" s="4">
        <f>COUNTIF('04_Task_Pipeline'!$B:$B,A24)</f>
        <v/>
      </c>
      <c r="J24" s="4">
        <f>COUNTIFS('04_Task_Pipeline'!$B:$B,A24,'04_Task_Pipeline'!$F:$F,"Completed")</f>
        <v/>
      </c>
      <c r="K24" s="6">
        <f>IF(I24=0,0,J24/I24)</f>
        <v/>
      </c>
      <c r="L24" s="4">
        <f>COUNTIFS('04_Task_Pipeline'!$B:$B,A24,'04_Task_Pipeline'!$F:$F,"Blocked")</f>
        <v/>
      </c>
      <c r="M24" s="7">
        <f>F24-$Q$1</f>
        <v/>
      </c>
      <c r="N24" s="4">
        <f>IF(G24="Completed","Completed",IF(L24&gt;0,"Blocked",IF(M24&lt;0,"SLA Breach",IF(AND(M24&lt;=7,K24&lt;0.75),"At Risk",IF(AND(M24&lt;=14,K24&lt;0.5),"At Risk","On Track")))))</f>
        <v/>
      </c>
    </row>
    <row r="25">
      <c r="A25" s="4" t="inlineStr">
        <is>
          <t>C024</t>
        </is>
      </c>
      <c r="B25" s="4" t="inlineStr">
        <is>
          <t>Onyx Labs</t>
        </is>
      </c>
      <c r="C25" s="4" t="inlineStr">
        <is>
          <t>FinTech</t>
        </is>
      </c>
      <c r="D25" s="4" t="n">
        <v>10</v>
      </c>
      <c r="E25" s="5" t="n">
        <v>46243</v>
      </c>
      <c r="F25" s="5" t="n">
        <v>46307</v>
      </c>
      <c r="G25" s="4" t="inlineStr">
        <is>
          <t>Completed</t>
        </is>
      </c>
      <c r="H25" s="4" t="inlineStr">
        <is>
          <t>Completed</t>
        </is>
      </c>
      <c r="I25" s="4">
        <f>COUNTIF('04_Task_Pipeline'!$B:$B,A25)</f>
        <v/>
      </c>
      <c r="J25" s="4">
        <f>COUNTIFS('04_Task_Pipeline'!$B:$B,A25,'04_Task_Pipeline'!$F:$F,"Completed")</f>
        <v/>
      </c>
      <c r="K25" s="6">
        <f>IF(I25=0,0,J25/I25)</f>
        <v/>
      </c>
      <c r="L25" s="4">
        <f>COUNTIFS('04_Task_Pipeline'!$B:$B,A25,'04_Task_Pipeline'!$F:$F,"Blocked")</f>
        <v/>
      </c>
      <c r="M25" s="7">
        <f>F25-$Q$1</f>
        <v/>
      </c>
      <c r="N25" s="4">
        <f>IF(G25="Completed","Completed",IF(L25&gt;0,"Blocked",IF(M25&lt;0,"SLA Breach",IF(AND(M25&lt;=7,K25&lt;0.75),"At Risk",IF(AND(M25&lt;=14,K25&lt;0.5),"At Risk","On Track")))))</f>
        <v/>
      </c>
    </row>
    <row r="26">
      <c r="A26" s="4" t="inlineStr">
        <is>
          <t>C025</t>
        </is>
      </c>
      <c r="B26" s="4" t="inlineStr">
        <is>
          <t>Yarrow Group</t>
        </is>
      </c>
      <c r="C26" s="4" t="inlineStr">
        <is>
          <t>EdTech</t>
        </is>
      </c>
      <c r="D26" s="4" t="n">
        <v>19</v>
      </c>
      <c r="E26" s="5" t="n">
        <v>46253</v>
      </c>
      <c r="F26" s="5" t="n">
        <v>46308</v>
      </c>
      <c r="G26" s="4" t="inlineStr">
        <is>
          <t>Customer Review</t>
        </is>
      </c>
      <c r="H26" s="4" t="inlineStr">
        <is>
          <t>On Track</t>
        </is>
      </c>
      <c r="I26" s="4">
        <f>COUNTIF('04_Task_Pipeline'!$B:$B,A26)</f>
        <v/>
      </c>
      <c r="J26" s="4">
        <f>COUNTIFS('04_Task_Pipeline'!$B:$B,A26,'04_Task_Pipeline'!$F:$F,"Completed")</f>
        <v/>
      </c>
      <c r="K26" s="6">
        <f>IF(I26=0,0,J26/I26)</f>
        <v/>
      </c>
      <c r="L26" s="4">
        <f>COUNTIFS('04_Task_Pipeline'!$B:$B,A26,'04_Task_Pipeline'!$F:$F,"Blocked")</f>
        <v/>
      </c>
      <c r="M26" s="7">
        <f>F26-$Q$1</f>
        <v/>
      </c>
      <c r="N26" s="4">
        <f>IF(G26="Completed","Completed",IF(L26&gt;0,"Blocked",IF(M26&lt;0,"SLA Breach",IF(AND(M26&lt;=7,K26&lt;0.75),"At Risk",IF(AND(M26&lt;=14,K26&lt;0.5),"At Risk","On Track")))))</f>
        <v/>
      </c>
    </row>
    <row r="27">
      <c r="A27" s="4" t="inlineStr">
        <is>
          <t>C026</t>
        </is>
      </c>
      <c r="B27" s="4" t="inlineStr">
        <is>
          <t>Fjord Services</t>
        </is>
      </c>
      <c r="C27" s="4" t="inlineStr">
        <is>
          <t>Hospitality</t>
        </is>
      </c>
      <c r="D27" s="4" t="n">
        <v>19</v>
      </c>
      <c r="E27" s="5" t="n">
        <v>46222</v>
      </c>
      <c r="F27" s="5" t="n">
        <v>46253</v>
      </c>
      <c r="G27" s="4" t="inlineStr">
        <is>
          <t>Payroll Setup</t>
        </is>
      </c>
      <c r="H27" s="4" t="inlineStr">
        <is>
          <t>At Risk</t>
        </is>
      </c>
      <c r="I27" s="4">
        <f>COUNTIF('04_Task_Pipeline'!$B:$B,A27)</f>
        <v/>
      </c>
      <c r="J27" s="4">
        <f>COUNTIFS('04_Task_Pipeline'!$B:$B,A27,'04_Task_Pipeline'!$F:$F,"Completed")</f>
        <v/>
      </c>
      <c r="K27" s="6">
        <f>IF(I27=0,0,J27/I27)</f>
        <v/>
      </c>
      <c r="L27" s="4">
        <f>COUNTIFS('04_Task_Pipeline'!$B:$B,A27,'04_Task_Pipeline'!$F:$F,"Blocked")</f>
        <v/>
      </c>
      <c r="M27" s="7">
        <f>F27-$Q$1</f>
        <v/>
      </c>
      <c r="N27" s="4">
        <f>IF(G27="Completed","Completed",IF(L27&gt;0,"Blocked",IF(M27&lt;0,"SLA Breach",IF(AND(M27&lt;=7,K27&lt;0.75),"At Risk",IF(AND(M27&lt;=14,K27&lt;0.5),"At Risk","On Track")))))</f>
        <v/>
      </c>
    </row>
    <row r="28">
      <c r="A28" s="4" t="inlineStr">
        <is>
          <t>C027</t>
        </is>
      </c>
      <c r="B28" s="4" t="inlineStr">
        <is>
          <t>Harbor Technologies</t>
        </is>
      </c>
      <c r="C28" s="4" t="inlineStr">
        <is>
          <t>EdTech</t>
        </is>
      </c>
      <c r="D28" s="4" t="n">
        <v>7</v>
      </c>
      <c r="E28" s="5" t="n">
        <v>46262</v>
      </c>
      <c r="F28" s="5" t="n">
        <v>46315</v>
      </c>
      <c r="G28" s="4" t="inlineStr">
        <is>
          <t>Employee Upload</t>
        </is>
      </c>
      <c r="H28" s="4" t="inlineStr">
        <is>
          <t>On Track</t>
        </is>
      </c>
      <c r="I28" s="4">
        <f>COUNTIF('04_Task_Pipeline'!$B:$B,A28)</f>
        <v/>
      </c>
      <c r="J28" s="4">
        <f>COUNTIFS('04_Task_Pipeline'!$B:$B,A28,'04_Task_Pipeline'!$F:$F,"Completed")</f>
        <v/>
      </c>
      <c r="K28" s="6">
        <f>IF(I28=0,0,J28/I28)</f>
        <v/>
      </c>
      <c r="L28" s="4">
        <f>COUNTIFS('04_Task_Pipeline'!$B:$B,A28,'04_Task_Pipeline'!$F:$F,"Blocked")</f>
        <v/>
      </c>
      <c r="M28" s="7">
        <f>F28-$Q$1</f>
        <v/>
      </c>
      <c r="N28" s="4">
        <f>IF(G28="Completed","Completed",IF(L28&gt;0,"Blocked",IF(M28&lt;0,"SLA Breach",IF(AND(M28&lt;=7,K28&lt;0.75),"At Risk",IF(AND(M28&lt;=14,K28&lt;0.5),"At Risk","On Track")))))</f>
        <v/>
      </c>
    </row>
    <row r="29">
      <c r="A29" s="4" t="inlineStr">
        <is>
          <t>C028</t>
        </is>
      </c>
      <c r="B29" s="4" t="inlineStr">
        <is>
          <t>Zephyr Labs</t>
        </is>
      </c>
      <c r="C29" s="4" t="inlineStr">
        <is>
          <t>Logistics</t>
        </is>
      </c>
      <c r="D29" s="4" t="n">
        <v>16</v>
      </c>
      <c r="E29" s="5" t="n">
        <v>46234</v>
      </c>
      <c r="F29" s="5" t="n">
        <v>46287</v>
      </c>
      <c r="G29" s="4" t="inlineStr">
        <is>
          <t>Customer Created</t>
        </is>
      </c>
      <c r="H29" s="4" t="inlineStr">
        <is>
          <t>At Risk</t>
        </is>
      </c>
      <c r="I29" s="4">
        <f>COUNTIF('04_Task_Pipeline'!$B:$B,A29)</f>
        <v/>
      </c>
      <c r="J29" s="4">
        <f>COUNTIFS('04_Task_Pipeline'!$B:$B,A29,'04_Task_Pipeline'!$F:$F,"Completed")</f>
        <v/>
      </c>
      <c r="K29" s="6">
        <f>IF(I29=0,0,J29/I29)</f>
        <v/>
      </c>
      <c r="L29" s="4">
        <f>COUNTIFS('04_Task_Pipeline'!$B:$B,A29,'04_Task_Pipeline'!$F:$F,"Blocked")</f>
        <v/>
      </c>
      <c r="M29" s="7">
        <f>F29-$Q$1</f>
        <v/>
      </c>
      <c r="N29" s="4">
        <f>IF(G29="Completed","Completed",IF(L29&gt;0,"Blocked",IF(M29&lt;0,"SLA Breach",IF(AND(M29&lt;=7,K29&lt;0.75),"At Risk",IF(AND(M29&lt;=14,K29&lt;0.5),"At Risk","On Track")))))</f>
        <v/>
      </c>
    </row>
    <row r="30">
      <c r="A30" s="4" t="inlineStr">
        <is>
          <t>C029</t>
        </is>
      </c>
      <c r="B30" s="4" t="inlineStr">
        <is>
          <t>Union Industries</t>
        </is>
      </c>
      <c r="C30" s="4" t="inlineStr">
        <is>
          <t>Logistics</t>
        </is>
      </c>
      <c r="D30" s="4" t="n">
        <v>32</v>
      </c>
      <c r="E30" s="5" t="n">
        <v>46269</v>
      </c>
      <c r="F30" s="5" t="n">
        <v>46302</v>
      </c>
      <c r="G30" s="4" t="inlineStr">
        <is>
          <t>Payroll Setup</t>
        </is>
      </c>
      <c r="H30" s="4" t="inlineStr">
        <is>
          <t>On Track</t>
        </is>
      </c>
      <c r="I30" s="4">
        <f>COUNTIF('04_Task_Pipeline'!$B:$B,A30)</f>
        <v/>
      </c>
      <c r="J30" s="4">
        <f>COUNTIFS('04_Task_Pipeline'!$B:$B,A30,'04_Task_Pipeline'!$F:$F,"Completed")</f>
        <v/>
      </c>
      <c r="K30" s="6">
        <f>IF(I30=0,0,J30/I30)</f>
        <v/>
      </c>
      <c r="L30" s="4">
        <f>COUNTIFS('04_Task_Pipeline'!$B:$B,A30,'04_Task_Pipeline'!$F:$F,"Blocked")</f>
        <v/>
      </c>
      <c r="M30" s="7">
        <f>F30-$Q$1</f>
        <v/>
      </c>
      <c r="N30" s="4">
        <f>IF(G30="Completed","Completed",IF(L30&gt;0,"Blocked",IF(M30&lt;0,"SLA Breach",IF(AND(M30&lt;=7,K30&lt;0.75),"At Risk",IF(AND(M30&lt;=14,K30&lt;0.5),"At Risk","On Track")))))</f>
        <v/>
      </c>
    </row>
    <row r="31">
      <c r="A31" s="4" t="inlineStr">
        <is>
          <t>C030</t>
        </is>
      </c>
      <c r="B31" s="4" t="inlineStr">
        <is>
          <t>Indus Labs</t>
        </is>
      </c>
      <c r="C31" s="4" t="inlineStr">
        <is>
          <t>FinTech</t>
        </is>
      </c>
      <c r="D31" s="4" t="n">
        <v>21</v>
      </c>
      <c r="E31" s="5" t="n">
        <v>46221</v>
      </c>
      <c r="F31" s="5" t="n">
        <v>46261</v>
      </c>
      <c r="G31" s="4" t="inlineStr">
        <is>
          <t>Validation</t>
        </is>
      </c>
      <c r="H31" s="4" t="inlineStr">
        <is>
          <t>At Risk</t>
        </is>
      </c>
      <c r="I31" s="4">
        <f>COUNTIF('04_Task_Pipeline'!$B:$B,A31)</f>
        <v/>
      </c>
      <c r="J31" s="4">
        <f>COUNTIFS('04_Task_Pipeline'!$B:$B,A31,'04_Task_Pipeline'!$F:$F,"Completed")</f>
        <v/>
      </c>
      <c r="K31" s="6">
        <f>IF(I31=0,0,J31/I31)</f>
        <v/>
      </c>
      <c r="L31" s="4">
        <f>COUNTIFS('04_Task_Pipeline'!$B:$B,A31,'04_Task_Pipeline'!$F:$F,"Blocked")</f>
        <v/>
      </c>
      <c r="M31" s="7">
        <f>F31-$Q$1</f>
        <v/>
      </c>
      <c r="N31" s="4">
        <f>IF(G31="Completed","Completed",IF(L31&gt;0,"Blocked",IF(M31&lt;0,"SLA Breach",IF(AND(M31&lt;=7,K31&lt;0.75),"At Risk",IF(AND(M31&lt;=14,K31&lt;0.5),"At Risk","On Track")))))</f>
        <v/>
      </c>
    </row>
    <row r="32">
      <c r="A32" s="4" t="inlineStr">
        <is>
          <t>C031</t>
        </is>
      </c>
      <c r="B32" s="4" t="inlineStr">
        <is>
          <t>Orbit Services</t>
        </is>
      </c>
      <c r="C32" s="4" t="inlineStr">
        <is>
          <t>Healthcare</t>
        </is>
      </c>
      <c r="D32" s="4" t="n">
        <v>34</v>
      </c>
      <c r="E32" s="5" t="n">
        <v>46273</v>
      </c>
      <c r="F32" s="5" t="n">
        <v>46338</v>
      </c>
      <c r="G32" s="4" t="inlineStr">
        <is>
          <t>Employee Upload</t>
        </is>
      </c>
      <c r="H32" s="4" t="inlineStr">
        <is>
          <t>On Track</t>
        </is>
      </c>
      <c r="I32" s="4">
        <f>COUNTIF('04_Task_Pipeline'!$B:$B,A32)</f>
        <v/>
      </c>
      <c r="J32" s="4">
        <f>COUNTIFS('04_Task_Pipeline'!$B:$B,A32,'04_Task_Pipeline'!$F:$F,"Completed")</f>
        <v/>
      </c>
      <c r="K32" s="6">
        <f>IF(I32=0,0,J32/I32)</f>
        <v/>
      </c>
      <c r="L32" s="4">
        <f>COUNTIFS('04_Task_Pipeline'!$B:$B,A32,'04_Task_Pipeline'!$F:$F,"Blocked")</f>
        <v/>
      </c>
      <c r="M32" s="7">
        <f>F32-$Q$1</f>
        <v/>
      </c>
      <c r="N32" s="4">
        <f>IF(G32="Completed","Completed",IF(L32&gt;0,"Blocked",IF(M32&lt;0,"SLA Breach",IF(AND(M32&lt;=7,K32&lt;0.75),"At Risk",IF(AND(M32&lt;=14,K32&lt;0.5),"At Risk","On Track")))))</f>
        <v/>
      </c>
    </row>
    <row r="33">
      <c r="A33" s="4" t="inlineStr">
        <is>
          <t>C032</t>
        </is>
      </c>
      <c r="B33" s="4" t="inlineStr">
        <is>
          <t>Pioneer Services</t>
        </is>
      </c>
      <c r="C33" s="4" t="inlineStr">
        <is>
          <t>EdTech</t>
        </is>
      </c>
      <c r="D33" s="4" t="n">
        <v>28</v>
      </c>
      <c r="E33" s="5" t="n">
        <v>46266</v>
      </c>
      <c r="F33" s="5" t="n">
        <v>46307</v>
      </c>
      <c r="G33" s="4" t="inlineStr">
        <is>
          <t>Approval</t>
        </is>
      </c>
      <c r="H33" s="4" t="inlineStr">
        <is>
          <t>On Track</t>
        </is>
      </c>
      <c r="I33" s="4">
        <f>COUNTIF('04_Task_Pipeline'!$B:$B,A33)</f>
        <v/>
      </c>
      <c r="J33" s="4">
        <f>COUNTIFS('04_Task_Pipeline'!$B:$B,A33,'04_Task_Pipeline'!$F:$F,"Completed")</f>
        <v/>
      </c>
      <c r="K33" s="6">
        <f>IF(I33=0,0,J33/I33)</f>
        <v/>
      </c>
      <c r="L33" s="4">
        <f>COUNTIFS('04_Task_Pipeline'!$B:$B,A33,'04_Task_Pipeline'!$F:$F,"Blocked")</f>
        <v/>
      </c>
      <c r="M33" s="7">
        <f>F33-$Q$1</f>
        <v/>
      </c>
      <c r="N33" s="4">
        <f>IF(G33="Completed","Completed",IF(L33&gt;0,"Blocked",IF(M33&lt;0,"SLA Breach",IF(AND(M33&lt;=7,K33&lt;0.75),"At Risk",IF(AND(M33&lt;=14,K33&lt;0.5),"At Risk","On Track")))))</f>
        <v/>
      </c>
    </row>
    <row r="34">
      <c r="A34" s="4" t="inlineStr">
        <is>
          <t>C033</t>
        </is>
      </c>
      <c r="B34" s="4" t="inlineStr">
        <is>
          <t>Umber Systems</t>
        </is>
      </c>
      <c r="C34" s="4" t="inlineStr">
        <is>
          <t>Healthcare</t>
        </is>
      </c>
      <c r="D34" s="4" t="n">
        <v>7</v>
      </c>
      <c r="E34" s="5" t="n">
        <v>46234</v>
      </c>
      <c r="F34" s="5" t="n">
        <v>46300</v>
      </c>
      <c r="G34" s="4" t="inlineStr">
        <is>
          <t>Employee Upload</t>
        </is>
      </c>
      <c r="H34" s="4" t="inlineStr">
        <is>
          <t>Blocked</t>
        </is>
      </c>
      <c r="I34" s="4">
        <f>COUNTIF('04_Task_Pipeline'!$B:$B,A34)</f>
        <v/>
      </c>
      <c r="J34" s="4">
        <f>COUNTIFS('04_Task_Pipeline'!$B:$B,A34,'04_Task_Pipeline'!$F:$F,"Completed")</f>
        <v/>
      </c>
      <c r="K34" s="6">
        <f>IF(I34=0,0,J34/I34)</f>
        <v/>
      </c>
      <c r="L34" s="4">
        <f>COUNTIFS('04_Task_Pipeline'!$B:$B,A34,'04_Task_Pipeline'!$F:$F,"Blocked")</f>
        <v/>
      </c>
      <c r="M34" s="7">
        <f>F34-$Q$1</f>
        <v/>
      </c>
      <c r="N34" s="4">
        <f>IF(G34="Completed","Completed",IF(L34&gt;0,"Blocked",IF(M34&lt;0,"SLA Breach",IF(AND(M34&lt;=7,K34&lt;0.75),"At Risk",IF(AND(M34&lt;=14,K34&lt;0.5),"At Risk","On Track")))))</f>
        <v/>
      </c>
    </row>
    <row r="35">
      <c r="A35" s="4" t="inlineStr">
        <is>
          <t>C034</t>
        </is>
      </c>
      <c r="B35" s="4" t="inlineStr">
        <is>
          <t>Horizon Labs</t>
        </is>
      </c>
      <c r="C35" s="4" t="inlineStr">
        <is>
          <t>FinTech</t>
        </is>
      </c>
      <c r="D35" s="4" t="n">
        <v>17</v>
      </c>
      <c r="E35" s="5" t="n">
        <v>46253</v>
      </c>
      <c r="F35" s="5" t="n">
        <v>46316</v>
      </c>
      <c r="G35" s="4" t="inlineStr">
        <is>
          <t>Completed</t>
        </is>
      </c>
      <c r="H35" s="4" t="inlineStr">
        <is>
          <t>Completed</t>
        </is>
      </c>
      <c r="I35" s="4">
        <f>COUNTIF('04_Task_Pipeline'!$B:$B,A35)</f>
        <v/>
      </c>
      <c r="J35" s="4">
        <f>COUNTIFS('04_Task_Pipeline'!$B:$B,A35,'04_Task_Pipeline'!$F:$F,"Completed")</f>
        <v/>
      </c>
      <c r="K35" s="6">
        <f>IF(I35=0,0,J35/I35)</f>
        <v/>
      </c>
      <c r="L35" s="4">
        <f>COUNTIFS('04_Task_Pipeline'!$B:$B,A35,'04_Task_Pipeline'!$F:$F,"Blocked")</f>
        <v/>
      </c>
      <c r="M35" s="7">
        <f>F35-$Q$1</f>
        <v/>
      </c>
      <c r="N35" s="4">
        <f>IF(G35="Completed","Completed",IF(L35&gt;0,"Blocked",IF(M35&lt;0,"SLA Breach",IF(AND(M35&lt;=7,K35&lt;0.75),"At Risk",IF(AND(M35&lt;=14,K35&lt;0.5),"At Risk","On Track")))))</f>
        <v/>
      </c>
    </row>
    <row r="36">
      <c r="A36" s="4" t="inlineStr">
        <is>
          <t>C035</t>
        </is>
      </c>
      <c r="B36" s="4" t="inlineStr">
        <is>
          <t>Willow Solutions</t>
        </is>
      </c>
      <c r="C36" s="4" t="inlineStr">
        <is>
          <t>Manufacturing</t>
        </is>
      </c>
      <c r="D36" s="4" t="n">
        <v>39</v>
      </c>
      <c r="E36" s="5" t="n">
        <v>46232</v>
      </c>
      <c r="F36" s="5" t="n">
        <v>46273</v>
      </c>
      <c r="G36" s="4" t="inlineStr">
        <is>
          <t>Customer Review</t>
        </is>
      </c>
      <c r="H36" s="4" t="inlineStr">
        <is>
          <t>At Risk</t>
        </is>
      </c>
      <c r="I36" s="4">
        <f>COUNTIF('04_Task_Pipeline'!$B:$B,A36)</f>
        <v/>
      </c>
      <c r="J36" s="4">
        <f>COUNTIFS('04_Task_Pipeline'!$B:$B,A36,'04_Task_Pipeline'!$F:$F,"Completed")</f>
        <v/>
      </c>
      <c r="K36" s="6">
        <f>IF(I36=0,0,J36/I36)</f>
        <v/>
      </c>
      <c r="L36" s="4">
        <f>COUNTIFS('04_Task_Pipeline'!$B:$B,A36,'04_Task_Pipeline'!$F:$F,"Blocked")</f>
        <v/>
      </c>
      <c r="M36" s="7">
        <f>F36-$Q$1</f>
        <v/>
      </c>
      <c r="N36" s="4">
        <f>IF(G36="Completed","Completed",IF(L36&gt;0,"Blocked",IF(M36&lt;0,"SLA Breach",IF(AND(M36&lt;=7,K36&lt;0.75),"At Risk",IF(AND(M36&lt;=14,K36&lt;0.5),"At Risk","On Track")))))</f>
        <v/>
      </c>
    </row>
    <row r="37">
      <c r="A37" s="4" t="inlineStr">
        <is>
          <t>C036</t>
        </is>
      </c>
      <c r="B37" s="4" t="inlineStr">
        <is>
          <t>Zephyr Works</t>
        </is>
      </c>
      <c r="C37" s="4" t="inlineStr">
        <is>
          <t>E-commerce</t>
        </is>
      </c>
      <c r="D37" s="4" t="n">
        <v>10</v>
      </c>
      <c r="E37" s="5" t="n">
        <v>46239</v>
      </c>
      <c r="F37" s="5" t="n">
        <v>46270</v>
      </c>
      <c r="G37" s="4" t="inlineStr">
        <is>
          <t>Payroll Setup</t>
        </is>
      </c>
      <c r="H37" s="4" t="inlineStr">
        <is>
          <t>At Risk</t>
        </is>
      </c>
      <c r="I37" s="4">
        <f>COUNTIF('04_Task_Pipeline'!$B:$B,A37)</f>
        <v/>
      </c>
      <c r="J37" s="4">
        <f>COUNTIFS('04_Task_Pipeline'!$B:$B,A37,'04_Task_Pipeline'!$F:$F,"Completed")</f>
        <v/>
      </c>
      <c r="K37" s="6">
        <f>IF(I37=0,0,J37/I37)</f>
        <v/>
      </c>
      <c r="L37" s="4">
        <f>COUNTIFS('04_Task_Pipeline'!$B:$B,A37,'04_Task_Pipeline'!$F:$F,"Blocked")</f>
        <v/>
      </c>
      <c r="M37" s="7">
        <f>F37-$Q$1</f>
        <v/>
      </c>
      <c r="N37" s="4">
        <f>IF(G37="Completed","Completed",IF(L37&gt;0,"Blocked",IF(M37&lt;0,"SLA Breach",IF(AND(M37&lt;=7,K37&lt;0.75),"At Risk",IF(AND(M37&lt;=14,K37&lt;0.5),"At Risk","On Track")))))</f>
        <v/>
      </c>
    </row>
    <row r="38">
      <c r="A38" s="4" t="inlineStr">
        <is>
          <t>C037</t>
        </is>
      </c>
      <c r="B38" s="4" t="inlineStr">
        <is>
          <t>Horizon Works</t>
        </is>
      </c>
      <c r="C38" s="4" t="inlineStr">
        <is>
          <t>IT Services</t>
        </is>
      </c>
      <c r="D38" s="4" t="n">
        <v>31</v>
      </c>
      <c r="E38" s="5" t="n">
        <v>46219</v>
      </c>
      <c r="F38" s="5" t="n">
        <v>46284</v>
      </c>
      <c r="G38" s="4" t="inlineStr">
        <is>
          <t>Completed</t>
        </is>
      </c>
      <c r="H38" s="4" t="inlineStr">
        <is>
          <t>Completed</t>
        </is>
      </c>
      <c r="I38" s="4">
        <f>COUNTIF('04_Task_Pipeline'!$B:$B,A38)</f>
        <v/>
      </c>
      <c r="J38" s="4">
        <f>COUNTIFS('04_Task_Pipeline'!$B:$B,A38,'04_Task_Pipeline'!$F:$F,"Completed")</f>
        <v/>
      </c>
      <c r="K38" s="6">
        <f>IF(I38=0,0,J38/I38)</f>
        <v/>
      </c>
      <c r="L38" s="4">
        <f>COUNTIFS('04_Task_Pipeline'!$B:$B,A38,'04_Task_Pipeline'!$F:$F,"Blocked")</f>
        <v/>
      </c>
      <c r="M38" s="7">
        <f>F38-$Q$1</f>
        <v/>
      </c>
      <c r="N38" s="4">
        <f>IF(G38="Completed","Completed",IF(L38&gt;0,"Blocked",IF(M38&lt;0,"SLA Breach",IF(AND(M38&lt;=7,K38&lt;0.75),"At Risk",IF(AND(M38&lt;=14,K38&lt;0.5),"At Risk","On Track")))))</f>
        <v/>
      </c>
    </row>
    <row r="39">
      <c r="A39" s="4" t="inlineStr">
        <is>
          <t>C038</t>
        </is>
      </c>
      <c r="B39" s="4" t="inlineStr">
        <is>
          <t>Falcon Labs</t>
        </is>
      </c>
      <c r="C39" s="4" t="inlineStr">
        <is>
          <t>Logistics</t>
        </is>
      </c>
      <c r="D39" s="4" t="n">
        <v>15</v>
      </c>
      <c r="E39" s="5" t="n">
        <v>46272</v>
      </c>
      <c r="F39" s="5" t="n">
        <v>46332</v>
      </c>
      <c r="G39" s="4" t="inlineStr">
        <is>
          <t>Approval</t>
        </is>
      </c>
      <c r="H39" s="4" t="inlineStr">
        <is>
          <t>On Track</t>
        </is>
      </c>
      <c r="I39" s="4">
        <f>COUNTIF('04_Task_Pipeline'!$B:$B,A39)</f>
        <v/>
      </c>
      <c r="J39" s="4">
        <f>COUNTIFS('04_Task_Pipeline'!$B:$B,A39,'04_Task_Pipeline'!$F:$F,"Completed")</f>
        <v/>
      </c>
      <c r="K39" s="6">
        <f>IF(I39=0,0,J39/I39)</f>
        <v/>
      </c>
      <c r="L39" s="4">
        <f>COUNTIFS('04_Task_Pipeline'!$B:$B,A39,'04_Task_Pipeline'!$F:$F,"Blocked")</f>
        <v/>
      </c>
      <c r="M39" s="7">
        <f>F39-$Q$1</f>
        <v/>
      </c>
      <c r="N39" s="4">
        <f>IF(G39="Completed","Completed",IF(L39&gt;0,"Blocked",IF(M39&lt;0,"SLA Breach",IF(AND(M39&lt;=7,K39&lt;0.75),"At Risk",IF(AND(M39&lt;=14,K39&lt;0.5),"At Risk","On Track")))))</f>
        <v/>
      </c>
    </row>
    <row r="40">
      <c r="A40" s="4" t="inlineStr">
        <is>
          <t>C039</t>
        </is>
      </c>
      <c r="B40" s="4" t="inlineStr">
        <is>
          <t>Sable Services</t>
        </is>
      </c>
      <c r="C40" s="4" t="inlineStr">
        <is>
          <t>Hospitality</t>
        </is>
      </c>
      <c r="D40" s="4" t="n">
        <v>31</v>
      </c>
      <c r="E40" s="5" t="n">
        <v>46249</v>
      </c>
      <c r="F40" s="5" t="n">
        <v>46289</v>
      </c>
      <c r="G40" s="4" t="inlineStr">
        <is>
          <t>Completed</t>
        </is>
      </c>
      <c r="H40" s="4" t="inlineStr">
        <is>
          <t>Completed</t>
        </is>
      </c>
      <c r="I40" s="4">
        <f>COUNTIF('04_Task_Pipeline'!$B:$B,A40)</f>
        <v/>
      </c>
      <c r="J40" s="4">
        <f>COUNTIFS('04_Task_Pipeline'!$B:$B,A40,'04_Task_Pipeline'!$F:$F,"Completed")</f>
        <v/>
      </c>
      <c r="K40" s="6">
        <f>IF(I40=0,0,J40/I40)</f>
        <v/>
      </c>
      <c r="L40" s="4">
        <f>COUNTIFS('04_Task_Pipeline'!$B:$B,A40,'04_Task_Pipeline'!$F:$F,"Blocked")</f>
        <v/>
      </c>
      <c r="M40" s="7">
        <f>F40-$Q$1</f>
        <v/>
      </c>
      <c r="N40" s="4">
        <f>IF(G40="Completed","Completed",IF(L40&gt;0,"Blocked",IF(M40&lt;0,"SLA Breach",IF(AND(M40&lt;=7,K40&lt;0.75),"At Risk",IF(AND(M40&lt;=14,K40&lt;0.5),"At Risk","On Track")))))</f>
        <v/>
      </c>
    </row>
    <row r="41">
      <c r="A41" s="4" t="inlineStr">
        <is>
          <t>C040</t>
        </is>
      </c>
      <c r="B41" s="4" t="inlineStr">
        <is>
          <t>Vantage Technologies</t>
        </is>
      </c>
      <c r="C41" s="4" t="inlineStr">
        <is>
          <t>IT Services</t>
        </is>
      </c>
      <c r="D41" s="4" t="n">
        <v>8</v>
      </c>
      <c r="E41" s="5" t="n">
        <v>46269</v>
      </c>
      <c r="F41" s="5" t="n">
        <v>46332</v>
      </c>
      <c r="G41" s="4" t="inlineStr">
        <is>
          <t>Employee Upload</t>
        </is>
      </c>
      <c r="H41" s="4" t="inlineStr">
        <is>
          <t>On Track</t>
        </is>
      </c>
      <c r="I41" s="4">
        <f>COUNTIF('04_Task_Pipeline'!$B:$B,A41)</f>
        <v/>
      </c>
      <c r="J41" s="4">
        <f>COUNTIFS('04_Task_Pipeline'!$B:$B,A41,'04_Task_Pipeline'!$F:$F,"Completed")</f>
        <v/>
      </c>
      <c r="K41" s="6">
        <f>IF(I41=0,0,J41/I41)</f>
        <v/>
      </c>
      <c r="L41" s="4">
        <f>COUNTIFS('04_Task_Pipeline'!$B:$B,A41,'04_Task_Pipeline'!$F:$F,"Blocked")</f>
        <v/>
      </c>
      <c r="M41" s="7">
        <f>F41-$Q$1</f>
        <v/>
      </c>
      <c r="N41" s="4">
        <f>IF(G41="Completed","Completed",IF(L41&gt;0,"Blocked",IF(M41&lt;0,"SLA Breach",IF(AND(M41&lt;=7,K41&lt;0.75),"At Risk",IF(AND(M41&lt;=14,K41&lt;0.5),"At Risk","On Track")))))</f>
        <v/>
      </c>
    </row>
    <row r="42">
      <c r="A42" s="4" t="inlineStr">
        <is>
          <t>C041</t>
        </is>
      </c>
      <c r="B42" s="4" t="inlineStr">
        <is>
          <t>Summit Labs</t>
        </is>
      </c>
      <c r="C42" s="4" t="inlineStr">
        <is>
          <t>Hospitality</t>
        </is>
      </c>
      <c r="D42" s="4" t="n">
        <v>36</v>
      </c>
      <c r="E42" s="5" t="n">
        <v>46271</v>
      </c>
      <c r="F42" s="5" t="n">
        <v>46308</v>
      </c>
      <c r="G42" s="4" t="inlineStr">
        <is>
          <t>Validation</t>
        </is>
      </c>
      <c r="H42" s="4" t="inlineStr">
        <is>
          <t>On Track</t>
        </is>
      </c>
      <c r="I42" s="4">
        <f>COUNTIF('04_Task_Pipeline'!$B:$B,A42)</f>
        <v/>
      </c>
      <c r="J42" s="4">
        <f>COUNTIFS('04_Task_Pipeline'!$B:$B,A42,'04_Task_Pipeline'!$F:$F,"Completed")</f>
        <v/>
      </c>
      <c r="K42" s="6">
        <f>IF(I42=0,0,J42/I42)</f>
        <v/>
      </c>
      <c r="L42" s="4">
        <f>COUNTIFS('04_Task_Pipeline'!$B:$B,A42,'04_Task_Pipeline'!$F:$F,"Blocked")</f>
        <v/>
      </c>
      <c r="M42" s="7">
        <f>F42-$Q$1</f>
        <v/>
      </c>
      <c r="N42" s="4">
        <f>IF(G42="Completed","Completed",IF(L42&gt;0,"Blocked",IF(M42&lt;0,"SLA Breach",IF(AND(M42&lt;=7,K42&lt;0.75),"At Risk",IF(AND(M42&lt;=14,K42&lt;0.5),"At Risk","On Track")))))</f>
        <v/>
      </c>
    </row>
    <row r="43">
      <c r="A43" s="4" t="inlineStr">
        <is>
          <t>C042</t>
        </is>
      </c>
      <c r="B43" s="4" t="inlineStr">
        <is>
          <t>Quartz Works</t>
        </is>
      </c>
      <c r="C43" s="4" t="inlineStr">
        <is>
          <t>Logistics</t>
        </is>
      </c>
      <c r="D43" s="4" t="n">
        <v>22</v>
      </c>
      <c r="E43" s="5" t="n">
        <v>46245</v>
      </c>
      <c r="F43" s="5" t="n">
        <v>46280</v>
      </c>
      <c r="G43" s="4" t="inlineStr">
        <is>
          <t>Customer Created</t>
        </is>
      </c>
      <c r="H43" s="4" t="inlineStr">
        <is>
          <t>At Risk</t>
        </is>
      </c>
      <c r="I43" s="4">
        <f>COUNTIF('04_Task_Pipeline'!$B:$B,A43)</f>
        <v/>
      </c>
      <c r="J43" s="4">
        <f>COUNTIFS('04_Task_Pipeline'!$B:$B,A43,'04_Task_Pipeline'!$F:$F,"Completed")</f>
        <v/>
      </c>
      <c r="K43" s="6">
        <f>IF(I43=0,0,J43/I43)</f>
        <v/>
      </c>
      <c r="L43" s="4">
        <f>COUNTIFS('04_Task_Pipeline'!$B:$B,A43,'04_Task_Pipeline'!$F:$F,"Blocked")</f>
        <v/>
      </c>
      <c r="M43" s="7">
        <f>F43-$Q$1</f>
        <v/>
      </c>
      <c r="N43" s="4">
        <f>IF(G43="Completed","Completed",IF(L43&gt;0,"Blocked",IF(M43&lt;0,"SLA Breach",IF(AND(M43&lt;=7,K43&lt;0.75),"At Risk",IF(AND(M43&lt;=14,K43&lt;0.5),"At Risk","On Track")))))</f>
        <v/>
      </c>
    </row>
    <row r="44">
      <c r="A44" s="4" t="inlineStr">
        <is>
          <t>C043</t>
        </is>
      </c>
      <c r="B44" s="4" t="inlineStr">
        <is>
          <t>Nimbus Technologies</t>
        </is>
      </c>
      <c r="C44" s="4" t="inlineStr">
        <is>
          <t>IT Services</t>
        </is>
      </c>
      <c r="D44" s="4" t="n">
        <v>29</v>
      </c>
      <c r="E44" s="5" t="n">
        <v>46210</v>
      </c>
      <c r="F44" s="5" t="n">
        <v>46244</v>
      </c>
      <c r="G44" s="4" t="inlineStr">
        <is>
          <t>Customer Review</t>
        </is>
      </c>
      <c r="H44" s="4" t="inlineStr">
        <is>
          <t>At Risk</t>
        </is>
      </c>
      <c r="I44" s="4">
        <f>COUNTIF('04_Task_Pipeline'!$B:$B,A44)</f>
        <v/>
      </c>
      <c r="J44" s="4">
        <f>COUNTIFS('04_Task_Pipeline'!$B:$B,A44,'04_Task_Pipeline'!$F:$F,"Completed")</f>
        <v/>
      </c>
      <c r="K44" s="6">
        <f>IF(I44=0,0,J44/I44)</f>
        <v/>
      </c>
      <c r="L44" s="4">
        <f>COUNTIFS('04_Task_Pipeline'!$B:$B,A44,'04_Task_Pipeline'!$F:$F,"Blocked")</f>
        <v/>
      </c>
      <c r="M44" s="7">
        <f>F44-$Q$1</f>
        <v/>
      </c>
      <c r="N44" s="4">
        <f>IF(G44="Completed","Completed",IF(L44&gt;0,"Blocked",IF(M44&lt;0,"SLA Breach",IF(AND(M44&lt;=7,K44&lt;0.75),"At Risk",IF(AND(M44&lt;=14,K44&lt;0.5),"At Risk","On Track")))))</f>
        <v/>
      </c>
    </row>
    <row r="45">
      <c r="A45" s="4" t="inlineStr">
        <is>
          <t>C044</t>
        </is>
      </c>
      <c r="B45" s="4" t="inlineStr">
        <is>
          <t>Monarch Labs</t>
        </is>
      </c>
      <c r="C45" s="4" t="inlineStr">
        <is>
          <t>Logistics</t>
        </is>
      </c>
      <c r="D45" s="4" t="n">
        <v>11</v>
      </c>
      <c r="E45" s="5" t="n">
        <v>46217</v>
      </c>
      <c r="F45" s="5" t="n">
        <v>46279</v>
      </c>
      <c r="G45" s="4" t="inlineStr">
        <is>
          <t>Approval</t>
        </is>
      </c>
      <c r="H45" s="4" t="inlineStr">
        <is>
          <t>At Risk</t>
        </is>
      </c>
      <c r="I45" s="4">
        <f>COUNTIF('04_Task_Pipeline'!$B:$B,A45)</f>
        <v/>
      </c>
      <c r="J45" s="4">
        <f>COUNTIFS('04_Task_Pipeline'!$B:$B,A45,'04_Task_Pipeline'!$F:$F,"Completed")</f>
        <v/>
      </c>
      <c r="K45" s="6">
        <f>IF(I45=0,0,J45/I45)</f>
        <v/>
      </c>
      <c r="L45" s="4">
        <f>COUNTIFS('04_Task_Pipeline'!$B:$B,A45,'04_Task_Pipeline'!$F:$F,"Blocked")</f>
        <v/>
      </c>
      <c r="M45" s="7">
        <f>F45-$Q$1</f>
        <v/>
      </c>
      <c r="N45" s="4">
        <f>IF(G45="Completed","Completed",IF(L45&gt;0,"Blocked",IF(M45&lt;0,"SLA Breach",IF(AND(M45&lt;=7,K45&lt;0.75),"At Risk",IF(AND(M45&lt;=14,K45&lt;0.5),"At Risk","On Track")))))</f>
        <v/>
      </c>
    </row>
    <row r="46">
      <c r="A46" s="4" t="inlineStr">
        <is>
          <t>C045</t>
        </is>
      </c>
      <c r="B46" s="4" t="inlineStr">
        <is>
          <t>Prism Technologies</t>
        </is>
      </c>
      <c r="C46" s="4" t="inlineStr">
        <is>
          <t>Logistics</t>
        </is>
      </c>
      <c r="D46" s="4" t="n">
        <v>8</v>
      </c>
      <c r="E46" s="5" t="n">
        <v>46237</v>
      </c>
      <c r="F46" s="5" t="n">
        <v>46304</v>
      </c>
      <c r="G46" s="4" t="inlineStr">
        <is>
          <t>Payroll Setup</t>
        </is>
      </c>
      <c r="H46" s="4" t="inlineStr">
        <is>
          <t>On Track</t>
        </is>
      </c>
      <c r="I46" s="4">
        <f>COUNTIF('04_Task_Pipeline'!$B:$B,A46)</f>
        <v/>
      </c>
      <c r="J46" s="4">
        <f>COUNTIFS('04_Task_Pipeline'!$B:$B,A46,'04_Task_Pipeline'!$F:$F,"Completed")</f>
        <v/>
      </c>
      <c r="K46" s="6">
        <f>IF(I46=0,0,J46/I46)</f>
        <v/>
      </c>
      <c r="L46" s="4">
        <f>COUNTIFS('04_Task_Pipeline'!$B:$B,A46,'04_Task_Pipeline'!$F:$F,"Blocked")</f>
        <v/>
      </c>
      <c r="M46" s="7">
        <f>F46-$Q$1</f>
        <v/>
      </c>
      <c r="N46" s="4">
        <f>IF(G46="Completed","Completed",IF(L46&gt;0,"Blocked",IF(M46&lt;0,"SLA Breach",IF(AND(M46&lt;=7,K46&lt;0.75),"At Risk",IF(AND(M46&lt;=14,K46&lt;0.5),"At Risk","On Track")))))</f>
        <v/>
      </c>
    </row>
    <row r="47">
      <c r="A47" s="4" t="inlineStr">
        <is>
          <t>C046</t>
        </is>
      </c>
      <c r="B47" s="4" t="inlineStr">
        <is>
          <t>Granite Industries</t>
        </is>
      </c>
      <c r="C47" s="4" t="inlineStr">
        <is>
          <t>FinTech</t>
        </is>
      </c>
      <c r="D47" s="4" t="n">
        <v>28</v>
      </c>
      <c r="E47" s="5" t="n">
        <v>46253</v>
      </c>
      <c r="F47" s="5" t="n">
        <v>46321</v>
      </c>
      <c r="G47" s="4" t="inlineStr">
        <is>
          <t>Validation</t>
        </is>
      </c>
      <c r="H47" s="4" t="inlineStr">
        <is>
          <t>On Track</t>
        </is>
      </c>
      <c r="I47" s="4">
        <f>COUNTIF('04_Task_Pipeline'!$B:$B,A47)</f>
        <v/>
      </c>
      <c r="J47" s="4">
        <f>COUNTIFS('04_Task_Pipeline'!$B:$B,A47,'04_Task_Pipeline'!$F:$F,"Completed")</f>
        <v/>
      </c>
      <c r="K47" s="6">
        <f>IF(I47=0,0,J47/I47)</f>
        <v/>
      </c>
      <c r="L47" s="4">
        <f>COUNTIFS('04_Task_Pipeline'!$B:$B,A47,'04_Task_Pipeline'!$F:$F,"Blocked")</f>
        <v/>
      </c>
      <c r="M47" s="7">
        <f>F47-$Q$1</f>
        <v/>
      </c>
      <c r="N47" s="4">
        <f>IF(G47="Completed","Completed",IF(L47&gt;0,"Blocked",IF(M47&lt;0,"SLA Breach",IF(AND(M47&lt;=7,K47&lt;0.75),"At Risk",IF(AND(M47&lt;=14,K47&lt;0.5),"At Risk","On Track")))))</f>
        <v/>
      </c>
    </row>
    <row r="48">
      <c r="A48" s="4" t="inlineStr">
        <is>
          <t>C047</t>
        </is>
      </c>
      <c r="B48" s="4" t="inlineStr">
        <is>
          <t>Yarrow Services</t>
        </is>
      </c>
      <c r="C48" s="4" t="inlineStr">
        <is>
          <t>FinTech</t>
        </is>
      </c>
      <c r="D48" s="4" t="n">
        <v>24</v>
      </c>
      <c r="E48" s="5" t="n">
        <v>46264</v>
      </c>
      <c r="F48" s="5" t="n">
        <v>46319</v>
      </c>
      <c r="G48" s="4" t="inlineStr">
        <is>
          <t>Documents</t>
        </is>
      </c>
      <c r="H48" s="4" t="inlineStr">
        <is>
          <t>On Track</t>
        </is>
      </c>
      <c r="I48" s="4">
        <f>COUNTIF('04_Task_Pipeline'!$B:$B,A48)</f>
        <v/>
      </c>
      <c r="J48" s="4">
        <f>COUNTIFS('04_Task_Pipeline'!$B:$B,A48,'04_Task_Pipeline'!$F:$F,"Completed")</f>
        <v/>
      </c>
      <c r="K48" s="6">
        <f>IF(I48=0,0,J48/I48)</f>
        <v/>
      </c>
      <c r="L48" s="4">
        <f>COUNTIFS('04_Task_Pipeline'!$B:$B,A48,'04_Task_Pipeline'!$F:$F,"Blocked")</f>
        <v/>
      </c>
      <c r="M48" s="7">
        <f>F48-$Q$1</f>
        <v/>
      </c>
      <c r="N48" s="4">
        <f>IF(G48="Completed","Completed",IF(L48&gt;0,"Blocked",IF(M48&lt;0,"SLA Breach",IF(AND(M48&lt;=7,K48&lt;0.75),"At Risk",IF(AND(M48&lt;=14,K48&lt;0.5),"At Risk","On Track")))))</f>
        <v/>
      </c>
    </row>
    <row r="49">
      <c r="A49" s="4" t="inlineStr">
        <is>
          <t>C048</t>
        </is>
      </c>
      <c r="B49" s="4" t="inlineStr">
        <is>
          <t>Lattice Industries</t>
        </is>
      </c>
      <c r="C49" s="4" t="inlineStr">
        <is>
          <t>IT Services</t>
        </is>
      </c>
      <c r="D49" s="4" t="n">
        <v>39</v>
      </c>
      <c r="E49" s="5" t="n">
        <v>46263</v>
      </c>
      <c r="F49" s="5" t="n">
        <v>46316</v>
      </c>
      <c r="G49" s="4" t="inlineStr">
        <is>
          <t>Completed</t>
        </is>
      </c>
      <c r="H49" s="4" t="inlineStr">
        <is>
          <t>Completed</t>
        </is>
      </c>
      <c r="I49" s="4">
        <f>COUNTIF('04_Task_Pipeline'!$B:$B,A49)</f>
        <v/>
      </c>
      <c r="J49" s="4">
        <f>COUNTIFS('04_Task_Pipeline'!$B:$B,A49,'04_Task_Pipeline'!$F:$F,"Completed")</f>
        <v/>
      </c>
      <c r="K49" s="6">
        <f>IF(I49=0,0,J49/I49)</f>
        <v/>
      </c>
      <c r="L49" s="4">
        <f>COUNTIFS('04_Task_Pipeline'!$B:$B,A49,'04_Task_Pipeline'!$F:$F,"Blocked")</f>
        <v/>
      </c>
      <c r="M49" s="7">
        <f>F49-$Q$1</f>
        <v/>
      </c>
      <c r="N49" s="4">
        <f>IF(G49="Completed","Completed",IF(L49&gt;0,"Blocked",IF(M49&lt;0,"SLA Breach",IF(AND(M49&lt;=7,K49&lt;0.75),"At Risk",IF(AND(M49&lt;=14,K49&lt;0.5),"At Risk","On Track")))))</f>
        <v/>
      </c>
    </row>
    <row r="50">
      <c r="A50" s="4" t="inlineStr">
        <is>
          <t>C049</t>
        </is>
      </c>
      <c r="B50" s="4" t="inlineStr">
        <is>
          <t>Knox Systems</t>
        </is>
      </c>
      <c r="C50" s="4" t="inlineStr">
        <is>
          <t>Logistics</t>
        </is>
      </c>
      <c r="D50" s="4" t="n">
        <v>21</v>
      </c>
      <c r="E50" s="5" t="n">
        <v>46232</v>
      </c>
      <c r="F50" s="5" t="n">
        <v>46293</v>
      </c>
      <c r="G50" s="4" t="inlineStr">
        <is>
          <t>Customer Created</t>
        </is>
      </c>
      <c r="H50" s="4" t="inlineStr">
        <is>
          <t>Blocked</t>
        </is>
      </c>
      <c r="I50" s="4">
        <f>COUNTIF('04_Task_Pipeline'!$B:$B,A50)</f>
        <v/>
      </c>
      <c r="J50" s="4">
        <f>COUNTIFS('04_Task_Pipeline'!$B:$B,A50,'04_Task_Pipeline'!$F:$F,"Completed")</f>
        <v/>
      </c>
      <c r="K50" s="6">
        <f>IF(I50=0,0,J50/I50)</f>
        <v/>
      </c>
      <c r="L50" s="4">
        <f>COUNTIFS('04_Task_Pipeline'!$B:$B,A50,'04_Task_Pipeline'!$F:$F,"Blocked")</f>
        <v/>
      </c>
      <c r="M50" s="7">
        <f>F50-$Q$1</f>
        <v/>
      </c>
      <c r="N50" s="4">
        <f>IF(G50="Completed","Completed",IF(L50&gt;0,"Blocked",IF(M50&lt;0,"SLA Breach",IF(AND(M50&lt;=7,K50&lt;0.75),"At Risk",IF(AND(M50&lt;=14,K50&lt;0.5),"At Risk","On Track")))))</f>
        <v/>
      </c>
    </row>
    <row r="51">
      <c r="A51" s="4" t="inlineStr">
        <is>
          <t>C050</t>
        </is>
      </c>
      <c r="B51" s="4" t="inlineStr">
        <is>
          <t>Orbit Systems</t>
        </is>
      </c>
      <c r="C51" s="4" t="inlineStr">
        <is>
          <t>Manufacturing</t>
        </is>
      </c>
      <c r="D51" s="4" t="n">
        <v>33</v>
      </c>
      <c r="E51" s="5" t="n">
        <v>46243</v>
      </c>
      <c r="F51" s="5" t="n">
        <v>46282</v>
      </c>
      <c r="G51" s="4" t="inlineStr">
        <is>
          <t>Customer Review</t>
        </is>
      </c>
      <c r="H51" s="4" t="inlineStr">
        <is>
          <t>At Risk</t>
        </is>
      </c>
      <c r="I51" s="4">
        <f>COUNTIF('04_Task_Pipeline'!$B:$B,A51)</f>
        <v/>
      </c>
      <c r="J51" s="4">
        <f>COUNTIFS('04_Task_Pipeline'!$B:$B,A51,'04_Task_Pipeline'!$F:$F,"Completed")</f>
        <v/>
      </c>
      <c r="K51" s="6">
        <f>IF(I51=0,0,J51/I51)</f>
        <v/>
      </c>
      <c r="L51" s="4">
        <f>COUNTIFS('04_Task_Pipeline'!$B:$B,A51,'04_Task_Pipeline'!$F:$F,"Blocked")</f>
        <v/>
      </c>
      <c r="M51" s="7">
        <f>F51-$Q$1</f>
        <v/>
      </c>
      <c r="N51" s="4">
        <f>IF(G51="Completed","Completed",IF(L51&gt;0,"Blocked",IF(M51&lt;0,"SLA Breach",IF(AND(M51&lt;=7,K51&lt;0.75),"At Risk",IF(AND(M51&lt;=14,K51&lt;0.5),"At Risk","On Track")))))</f>
        <v/>
      </c>
    </row>
  </sheetData>
  <conditionalFormatting sqref="H2:H51">
    <cfRule type="cellIs" priority="1" operator="equal" dxfId="0">
      <formula>"Blocked"</formula>
    </cfRule>
  </conditionalFormatting>
  <conditionalFormatting sqref="N2:N51">
    <cfRule type="expression" priority="2" dxfId="0">
      <formula>OR($N2="Blocked",$N2="SLA Breach")</formula>
    </cfRule>
    <cfRule type="cellIs" priority="3" operator="equal" dxfId="1">
      <formula>"At Risk"</formula>
    </cfRule>
    <cfRule type="cellIs" priority="4" operator="equal" dxfId="2">
      <formula>"On Track"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2" customWidth="1" min="4" max="4"/>
    <col width="10" customWidth="1" min="5" max="5"/>
    <col width="9" customWidth="1" min="6" max="6"/>
    <col width="12" customWidth="1" min="7" max="7"/>
    <col width="11" customWidth="1" min="8" max="8"/>
    <col width="8" customWidth="1" min="9" max="9"/>
    <col width="14" customWidth="1" min="10" max="10"/>
    <col width="11" customWidth="1" min="11" max="11"/>
    <col width="13" customWidth="1" min="12" max="12"/>
    <col width="9" customWidth="1" min="13" max="13"/>
    <col width="8" customWidth="1" min="14" max="14"/>
    <col width="20" customWidth="1" min="15" max="15"/>
  </cols>
  <sheetData>
    <row r="1">
      <c r="A1" s="1" t="inlineStr">
        <is>
          <t>employee_id</t>
        </is>
      </c>
      <c r="B1" s="1" t="inlineStr">
        <is>
          <t>customer_id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basic_pay</t>
        </is>
      </c>
      <c r="F1" s="1" t="inlineStr">
        <is>
          <t>hra</t>
        </is>
      </c>
      <c r="G1" s="1" t="inlineStr">
        <is>
          <t>special_allowance</t>
        </is>
      </c>
      <c r="H1" s="1" t="inlineStr">
        <is>
          <t>overtime_pay</t>
        </is>
      </c>
      <c r="I1" s="1" t="inlineStr">
        <is>
          <t>bonus</t>
        </is>
      </c>
      <c r="J1" s="1" t="inlineStr">
        <is>
          <t>bank_account_no</t>
        </is>
      </c>
      <c r="K1" s="1" t="inlineStr">
        <is>
          <t>pan_number</t>
        </is>
      </c>
      <c r="L1" s="1" t="inlineStr">
        <is>
          <t>uan_number</t>
        </is>
      </c>
      <c r="M1" s="1" t="inlineStr">
        <is>
          <t>attendance_days</t>
        </is>
      </c>
      <c r="N1" s="1" t="inlineStr">
        <is>
          <t>lop_days</t>
        </is>
      </c>
      <c r="O1" s="1" t="inlineStr">
        <is>
          <t>customer_name</t>
        </is>
      </c>
    </row>
    <row r="2">
      <c r="A2" s="4" t="inlineStr">
        <is>
          <t>E001</t>
        </is>
      </c>
      <c r="B2" s="4" t="inlineStr">
        <is>
          <t>C041</t>
        </is>
      </c>
      <c r="C2" s="4" t="inlineStr">
        <is>
          <t>Amit Chatterjee</t>
        </is>
      </c>
      <c r="D2" s="4" t="inlineStr">
        <is>
          <t>HR</t>
        </is>
      </c>
      <c r="E2" s="8" t="n">
        <v>34174</v>
      </c>
      <c r="F2" s="8" t="n">
        <v>13670</v>
      </c>
      <c r="G2" s="8" t="n">
        <v>10053</v>
      </c>
      <c r="H2" s="8" t="n">
        <v>1835</v>
      </c>
      <c r="I2" s="8" t="n">
        <v>0</v>
      </c>
      <c r="J2" s="4" t="inlineStr">
        <is>
          <t>193327551503</t>
        </is>
      </c>
      <c r="K2" s="4" t="inlineStr">
        <is>
          <t>XEOIC4843Q</t>
        </is>
      </c>
      <c r="L2" s="4" t="inlineStr">
        <is>
          <t>959814485368</t>
        </is>
      </c>
      <c r="M2" s="4" t="n">
        <v>29</v>
      </c>
      <c r="N2" s="4" t="n">
        <v>0</v>
      </c>
      <c r="O2" s="4">
        <f>IFERROR(INDEX('01_Customer_Tracker'!$B:$B,MATCH(B2,'01_Customer_Tracker'!$A:$A,0)),"")</f>
        <v/>
      </c>
    </row>
    <row r="3">
      <c r="A3" s="4" t="inlineStr">
        <is>
          <t>E002</t>
        </is>
      </c>
      <c r="B3" s="4" t="inlineStr">
        <is>
          <t>C032</t>
        </is>
      </c>
      <c r="C3" s="4" t="inlineStr">
        <is>
          <t>Kabir Gupta</t>
        </is>
      </c>
      <c r="D3" s="4" t="inlineStr">
        <is>
          <t>Engineering</t>
        </is>
      </c>
      <c r="E3" s="8" t="n">
        <v>85351</v>
      </c>
      <c r="F3" s="8" t="n">
        <v>34140</v>
      </c>
      <c r="G3" s="8" t="n">
        <v>11577</v>
      </c>
      <c r="H3" s="8" t="n">
        <v>5047</v>
      </c>
      <c r="I3" s="8" t="n">
        <v>618</v>
      </c>
      <c r="J3" s="4" t="inlineStr">
        <is>
          <t>253605945389</t>
        </is>
      </c>
      <c r="K3" s="4" t="inlineStr">
        <is>
          <t>OBZLG5644U</t>
        </is>
      </c>
      <c r="L3" s="4" t="inlineStr">
        <is>
          <t>145864434317</t>
        </is>
      </c>
      <c r="M3" s="4" t="n">
        <v>26</v>
      </c>
      <c r="N3" s="4" t="n">
        <v>1</v>
      </c>
      <c r="O3" s="4">
        <f>IFERROR(INDEX('01_Customer_Tracker'!$B:$B,MATCH(B3,'01_Customer_Tracker'!$A:$A,0)),"")</f>
        <v/>
      </c>
    </row>
    <row r="4">
      <c r="A4" s="4" t="inlineStr">
        <is>
          <t>E003</t>
        </is>
      </c>
      <c r="B4" s="4" t="inlineStr">
        <is>
          <t>C046</t>
        </is>
      </c>
      <c r="C4" s="4" t="inlineStr">
        <is>
          <t>Myra Menon</t>
        </is>
      </c>
      <c r="D4" s="4" t="inlineStr">
        <is>
          <t>Engineering</t>
        </is>
      </c>
      <c r="E4" s="8" t="n">
        <v>82334</v>
      </c>
      <c r="F4" s="8" t="n">
        <v>32934</v>
      </c>
      <c r="G4" s="8" t="n">
        <v>8830</v>
      </c>
      <c r="H4" s="8" t="n">
        <v>2958</v>
      </c>
      <c r="I4" s="8" t="n">
        <v>1242</v>
      </c>
      <c r="J4" s="4" t="inlineStr">
        <is>
          <t>400184519405</t>
        </is>
      </c>
      <c r="K4" s="4" t="inlineStr">
        <is>
          <t>FKDAH2008K</t>
        </is>
      </c>
      <c r="L4" s="4" t="inlineStr">
        <is>
          <t>101109756260</t>
        </is>
      </c>
      <c r="M4" s="4" t="n">
        <v>30</v>
      </c>
      <c r="N4" s="4" t="n">
        <v>0</v>
      </c>
      <c r="O4" s="4">
        <f>IFERROR(INDEX('01_Customer_Tracker'!$B:$B,MATCH(B4,'01_Customer_Tracker'!$A:$A,0)),"")</f>
        <v/>
      </c>
    </row>
    <row r="5">
      <c r="A5" s="4" t="inlineStr">
        <is>
          <t>E004</t>
        </is>
      </c>
      <c r="B5" s="4" t="inlineStr">
        <is>
          <t>C032</t>
        </is>
      </c>
      <c r="C5" s="4" t="inlineStr">
        <is>
          <t>Ananya Kapoor</t>
        </is>
      </c>
      <c r="D5" s="4" t="inlineStr">
        <is>
          <t>Engineering</t>
        </is>
      </c>
      <c r="E5" s="8" t="n">
        <v>39982</v>
      </c>
      <c r="F5" s="8" t="n">
        <v>15993</v>
      </c>
      <c r="G5" s="8" t="n">
        <v>5806</v>
      </c>
      <c r="H5" s="8" t="n">
        <v>1379</v>
      </c>
      <c r="I5" s="8" t="n">
        <v>0</v>
      </c>
      <c r="J5" s="4" t="inlineStr">
        <is>
          <t>842791669151</t>
        </is>
      </c>
      <c r="K5" s="4" t="inlineStr">
        <is>
          <t>NGFIP3182X</t>
        </is>
      </c>
      <c r="L5" s="4" t="inlineStr">
        <is>
          <t>714932521892</t>
        </is>
      </c>
      <c r="M5" s="4" t="n">
        <v>27</v>
      </c>
      <c r="N5" s="4" t="n">
        <v>2</v>
      </c>
      <c r="O5" s="4">
        <f>IFERROR(INDEX('01_Customer_Tracker'!$B:$B,MATCH(B5,'01_Customer_Tracker'!$A:$A,0)),"")</f>
        <v/>
      </c>
    </row>
    <row r="6">
      <c r="A6" s="4" t="inlineStr">
        <is>
          <t>E005</t>
        </is>
      </c>
      <c r="B6" s="4" t="inlineStr">
        <is>
          <t>C048</t>
        </is>
      </c>
      <c r="C6" s="4" t="inlineStr">
        <is>
          <t>Aadhya Iyer</t>
        </is>
      </c>
      <c r="D6" s="4" t="inlineStr">
        <is>
          <t>Marketing</t>
        </is>
      </c>
      <c r="E6" s="8" t="n">
        <v>51197</v>
      </c>
      <c r="F6" s="8" t="n">
        <v>20479</v>
      </c>
      <c r="G6" s="8" t="n">
        <v>2009</v>
      </c>
      <c r="H6" s="8" t="n">
        <v>2026</v>
      </c>
      <c r="I6" s="8" t="n">
        <v>0</v>
      </c>
      <c r="J6" s="4" t="inlineStr">
        <is>
          <t>158949471441</t>
        </is>
      </c>
      <c r="K6" s="4" t="inlineStr">
        <is>
          <t>LPBID1185X</t>
        </is>
      </c>
      <c r="L6" s="4" t="inlineStr">
        <is>
          <t>108333803639</t>
        </is>
      </c>
      <c r="M6" s="4" t="n">
        <v>30</v>
      </c>
      <c r="N6" s="4" t="n">
        <v>0</v>
      </c>
      <c r="O6" s="4">
        <f>IFERROR(INDEX('01_Customer_Tracker'!$B:$B,MATCH(B6,'01_Customer_Tracker'!$A:$A,0)),"")</f>
        <v/>
      </c>
    </row>
    <row r="7">
      <c r="A7" s="4" t="inlineStr">
        <is>
          <t>E006</t>
        </is>
      </c>
      <c r="B7" s="4" t="inlineStr">
        <is>
          <t>C038</t>
        </is>
      </c>
      <c r="C7" s="4" t="inlineStr">
        <is>
          <t>Reyansh Gupta</t>
        </is>
      </c>
      <c r="D7" s="4" t="inlineStr">
        <is>
          <t>HR</t>
        </is>
      </c>
      <c r="E7" s="8" t="n">
        <v>61511</v>
      </c>
      <c r="F7" s="8" t="n">
        <v>24604</v>
      </c>
      <c r="G7" s="8" t="n">
        <v>6492</v>
      </c>
      <c r="H7" s="8" t="n">
        <v>1188</v>
      </c>
      <c r="I7" s="8" t="n">
        <v>0</v>
      </c>
      <c r="J7" s="4" t="inlineStr">
        <is>
          <t>594293428937</t>
        </is>
      </c>
      <c r="K7" s="4" t="inlineStr">
        <is>
          <t>RWMAH8679N</t>
        </is>
      </c>
      <c r="L7" s="4" t="inlineStr"/>
      <c r="M7" s="4" t="n">
        <v>28</v>
      </c>
      <c r="N7" s="4" t="n">
        <v>0</v>
      </c>
      <c r="O7" s="4">
        <f>IFERROR(INDEX('01_Customer_Tracker'!$B:$B,MATCH(B7,'01_Customer_Tracker'!$A:$A,0)),"")</f>
        <v/>
      </c>
    </row>
    <row r="8">
      <c r="A8" s="4" t="inlineStr">
        <is>
          <t>E007</t>
        </is>
      </c>
      <c r="B8" s="4" t="inlineStr">
        <is>
          <t>C030</t>
        </is>
      </c>
      <c r="C8" s="4" t="inlineStr">
        <is>
          <t>Amit Agarwal</t>
        </is>
      </c>
      <c r="D8" s="4" t="inlineStr">
        <is>
          <t>Operations</t>
        </is>
      </c>
      <c r="E8" s="8" t="n">
        <v>34069</v>
      </c>
      <c r="F8" s="8" t="n">
        <v>13628</v>
      </c>
      <c r="G8" s="8" t="n">
        <v>4108</v>
      </c>
      <c r="H8" s="8" t="n">
        <v>2503</v>
      </c>
      <c r="I8" s="8" t="n">
        <v>0</v>
      </c>
      <c r="J8" s="4" t="inlineStr">
        <is>
          <t>607390209789</t>
        </is>
      </c>
      <c r="K8" s="4" t="inlineStr">
        <is>
          <t>XZCJT8317D</t>
        </is>
      </c>
      <c r="L8" s="4" t="inlineStr">
        <is>
          <t>819292170016</t>
        </is>
      </c>
      <c r="M8" s="4" t="n">
        <v>26</v>
      </c>
      <c r="N8" s="4" t="n">
        <v>0</v>
      </c>
      <c r="O8" s="4">
        <f>IFERROR(INDEX('01_Customer_Tracker'!$B:$B,MATCH(B8,'01_Customer_Tracker'!$A:$A,0)),"")</f>
        <v/>
      </c>
    </row>
    <row r="9">
      <c r="A9" s="4" t="inlineStr">
        <is>
          <t>E008</t>
        </is>
      </c>
      <c r="B9" s="4" t="inlineStr">
        <is>
          <t>C005</t>
        </is>
      </c>
      <c r="C9" s="4" t="inlineStr">
        <is>
          <t>Diya Iyer</t>
        </is>
      </c>
      <c r="D9" s="4" t="inlineStr">
        <is>
          <t>Finance</t>
        </is>
      </c>
      <c r="E9" s="8" t="n">
        <v>46051</v>
      </c>
      <c r="F9" s="8" t="n">
        <v>18420</v>
      </c>
      <c r="G9" s="8" t="n">
        <v>8174</v>
      </c>
      <c r="H9" s="8" t="n">
        <v>1170</v>
      </c>
      <c r="I9" s="8" t="n">
        <v>5171</v>
      </c>
      <c r="J9" s="4" t="inlineStr"/>
      <c r="K9" s="4" t="inlineStr">
        <is>
          <t>AJASE6931S</t>
        </is>
      </c>
      <c r="L9" s="4" t="inlineStr">
        <is>
          <t>737282112114</t>
        </is>
      </c>
      <c r="M9" s="4" t="n">
        <v>26</v>
      </c>
      <c r="N9" s="4" t="n">
        <v>0</v>
      </c>
      <c r="O9" s="4">
        <f>IFERROR(INDEX('01_Customer_Tracker'!$B:$B,MATCH(B9,'01_Customer_Tracker'!$A:$A,0)),"")</f>
        <v/>
      </c>
    </row>
    <row r="10">
      <c r="A10" s="4" t="inlineStr">
        <is>
          <t>E009</t>
        </is>
      </c>
      <c r="B10" s="4" t="inlineStr">
        <is>
          <t>C012</t>
        </is>
      </c>
      <c r="C10" s="4" t="inlineStr">
        <is>
          <t>Priya Gupta</t>
        </is>
      </c>
      <c r="D10" s="4" t="inlineStr">
        <is>
          <t>Marketing</t>
        </is>
      </c>
      <c r="E10" s="8" t="n">
        <v>26095</v>
      </c>
      <c r="F10" s="8" t="n">
        <v>10438</v>
      </c>
      <c r="G10" s="8" t="n">
        <v>7735</v>
      </c>
      <c r="H10" s="8" t="n">
        <v>493</v>
      </c>
      <c r="I10" s="8" t="n">
        <v>756</v>
      </c>
      <c r="J10" s="4" t="inlineStr">
        <is>
          <t>696164472659</t>
        </is>
      </c>
      <c r="K10" s="4" t="inlineStr">
        <is>
          <t>BEUND9924G</t>
        </is>
      </c>
      <c r="L10" s="4" t="inlineStr">
        <is>
          <t>114921821707</t>
        </is>
      </c>
      <c r="M10" s="4" t="n">
        <v>24</v>
      </c>
      <c r="N10" s="4" t="n">
        <v>0</v>
      </c>
      <c r="O10" s="4">
        <f>IFERROR(INDEX('01_Customer_Tracker'!$B:$B,MATCH(B10,'01_Customer_Tracker'!$A:$A,0)),"")</f>
        <v/>
      </c>
    </row>
    <row r="11">
      <c r="A11" s="4" t="inlineStr">
        <is>
          <t>E191</t>
        </is>
      </c>
      <c r="B11" s="4" t="inlineStr">
        <is>
          <t>C030</t>
        </is>
      </c>
      <c r="C11" s="4" t="inlineStr">
        <is>
          <t>Aryan Chatterjee</t>
        </is>
      </c>
      <c r="D11" s="4" t="inlineStr">
        <is>
          <t>Operations</t>
        </is>
      </c>
      <c r="E11" s="8" t="n">
        <v>24518</v>
      </c>
      <c r="F11" s="8" t="n">
        <v>9807</v>
      </c>
      <c r="G11" s="8" t="n">
        <v>7513</v>
      </c>
      <c r="H11" s="8" t="n">
        <v>1759</v>
      </c>
      <c r="I11" s="8" t="n">
        <v>0</v>
      </c>
      <c r="J11" s="4" t="inlineStr">
        <is>
          <t>540838408979</t>
        </is>
      </c>
      <c r="K11" s="4" t="inlineStr">
        <is>
          <t>EQEHS1454L</t>
        </is>
      </c>
      <c r="L11" s="4" t="inlineStr">
        <is>
          <t>365279673882</t>
        </is>
      </c>
      <c r="M11" s="4" t="n">
        <v>28</v>
      </c>
      <c r="N11" s="4" t="n">
        <v>0</v>
      </c>
      <c r="O11" s="4">
        <f>IFERROR(INDEX('01_Customer_Tracker'!$B:$B,MATCH(B11,'01_Customer_Tracker'!$A:$A,0)),"")</f>
        <v/>
      </c>
    </row>
    <row r="12">
      <c r="A12" s="4" t="inlineStr">
        <is>
          <t>E011</t>
        </is>
      </c>
      <c r="B12" s="4" t="inlineStr">
        <is>
          <t>C009</t>
        </is>
      </c>
      <c r="C12" s="4" t="inlineStr">
        <is>
          <t>Amit Pillai</t>
        </is>
      </c>
      <c r="D12" s="4" t="inlineStr">
        <is>
          <t>Sales</t>
        </is>
      </c>
      <c r="E12" s="8" t="n">
        <v>16362</v>
      </c>
      <c r="F12" s="8" t="n">
        <v>6545</v>
      </c>
      <c r="G12" s="8" t="n">
        <v>2045</v>
      </c>
      <c r="H12" s="8" t="n">
        <v>779</v>
      </c>
      <c r="I12" s="8" t="n">
        <v>5084</v>
      </c>
      <c r="J12" s="4" t="inlineStr">
        <is>
          <t>261127861495</t>
        </is>
      </c>
      <c r="K12" s="4" t="inlineStr">
        <is>
          <t>WQPEO5726K</t>
        </is>
      </c>
      <c r="L12" s="4" t="inlineStr">
        <is>
          <t>709858687239</t>
        </is>
      </c>
      <c r="M12" s="4" t="n">
        <v>27</v>
      </c>
      <c r="N12" s="4" t="n">
        <v>0</v>
      </c>
      <c r="O12" s="4">
        <f>IFERROR(INDEX('01_Customer_Tracker'!$B:$B,MATCH(B12,'01_Customer_Tracker'!$A:$A,0)),"")</f>
        <v/>
      </c>
    </row>
    <row r="13">
      <c r="A13" s="4" t="inlineStr">
        <is>
          <t>E012</t>
        </is>
      </c>
      <c r="B13" s="4" t="inlineStr">
        <is>
          <t>C031</t>
        </is>
      </c>
      <c r="C13" s="4" t="inlineStr">
        <is>
          <t>Priya Nair</t>
        </is>
      </c>
      <c r="D13" s="4" t="inlineStr">
        <is>
          <t>Support</t>
        </is>
      </c>
      <c r="E13" s="8" t="n">
        <v>68821</v>
      </c>
      <c r="F13" s="8" t="n">
        <v>27528</v>
      </c>
      <c r="G13" s="8" t="n">
        <v>11825</v>
      </c>
      <c r="H13" s="8" t="n">
        <v>824</v>
      </c>
      <c r="I13" s="8" t="n">
        <v>0</v>
      </c>
      <c r="J13" s="4" t="inlineStr">
        <is>
          <t>22345179161</t>
        </is>
      </c>
      <c r="K13" s="4" t="inlineStr">
        <is>
          <t>KAUJN4851K</t>
        </is>
      </c>
      <c r="L13" s="4" t="inlineStr">
        <is>
          <t>184664766780</t>
        </is>
      </c>
      <c r="M13" s="4" t="n">
        <v>29</v>
      </c>
      <c r="N13" s="4" t="n">
        <v>0</v>
      </c>
      <c r="O13" s="4">
        <f>IFERROR(INDEX('01_Customer_Tracker'!$B:$B,MATCH(B13,'01_Customer_Tracker'!$A:$A,0)),"")</f>
        <v/>
      </c>
    </row>
    <row r="14">
      <c r="A14" s="4" t="inlineStr">
        <is>
          <t>E013</t>
        </is>
      </c>
      <c r="B14" s="4" t="inlineStr">
        <is>
          <t>C048</t>
        </is>
      </c>
      <c r="C14" s="4" t="inlineStr">
        <is>
          <t>Karan Reddy</t>
        </is>
      </c>
      <c r="D14" s="4" t="inlineStr">
        <is>
          <t>HR</t>
        </is>
      </c>
      <c r="E14" s="8" t="n">
        <v>50159</v>
      </c>
      <c r="F14" s="8" t="n">
        <v>20064</v>
      </c>
      <c r="G14" s="8" t="n">
        <v>3068</v>
      </c>
      <c r="H14" s="8" t="n">
        <v>1442</v>
      </c>
      <c r="I14" s="8" t="n">
        <v>5769</v>
      </c>
      <c r="J14" s="4" t="inlineStr">
        <is>
          <t>207546572970</t>
        </is>
      </c>
      <c r="K14" s="4" t="inlineStr"/>
      <c r="L14" s="4" t="inlineStr">
        <is>
          <t>760145414105</t>
        </is>
      </c>
      <c r="M14" s="4" t="n">
        <v>27</v>
      </c>
      <c r="N14" s="4" t="n">
        <v>0</v>
      </c>
      <c r="O14" s="4">
        <f>IFERROR(INDEX('01_Customer_Tracker'!$B:$B,MATCH(B14,'01_Customer_Tracker'!$A:$A,0)),"")</f>
        <v/>
      </c>
    </row>
    <row r="15">
      <c r="A15" s="4" t="inlineStr">
        <is>
          <t>E014</t>
        </is>
      </c>
      <c r="B15" s="4" t="inlineStr">
        <is>
          <t>C005</t>
        </is>
      </c>
      <c r="C15" s="4" t="inlineStr">
        <is>
          <t>Om Singh</t>
        </is>
      </c>
      <c r="D15" s="4" t="inlineStr">
        <is>
          <t>Operations</t>
        </is>
      </c>
      <c r="E15" s="8" t="n">
        <v>53776</v>
      </c>
      <c r="F15" s="8" t="n">
        <v>21510</v>
      </c>
      <c r="G15" s="8" t="n">
        <v>2432</v>
      </c>
      <c r="H15" s="8" t="n">
        <v>3190</v>
      </c>
      <c r="I15" s="8" t="n">
        <v>0</v>
      </c>
      <c r="J15" s="4" t="inlineStr">
        <is>
          <t>785130528725</t>
        </is>
      </c>
      <c r="K15" s="4" t="inlineStr">
        <is>
          <t>YOLCU9134S</t>
        </is>
      </c>
      <c r="L15" s="4" t="inlineStr">
        <is>
          <t>818287692235</t>
        </is>
      </c>
      <c r="M15" s="4" t="n">
        <v>30</v>
      </c>
      <c r="N15" s="4" t="n">
        <v>0</v>
      </c>
      <c r="O15" s="4">
        <f>IFERROR(INDEX('01_Customer_Tracker'!$B:$B,MATCH(B15,'01_Customer_Tracker'!$A:$A,0)),"")</f>
        <v/>
      </c>
    </row>
    <row r="16">
      <c r="A16" s="4" t="inlineStr">
        <is>
          <t>E015</t>
        </is>
      </c>
      <c r="B16" s="4" t="inlineStr">
        <is>
          <t>C003</t>
        </is>
      </c>
      <c r="C16" s="4" t="inlineStr">
        <is>
          <t>Ishaan Mehta</t>
        </is>
      </c>
      <c r="D16" s="4" t="inlineStr">
        <is>
          <t>Support</t>
        </is>
      </c>
      <c r="E16" s="8" t="n">
        <v>49185</v>
      </c>
      <c r="F16" s="8" t="n">
        <v>19674</v>
      </c>
      <c r="G16" s="8" t="n">
        <v>1742</v>
      </c>
      <c r="H16" s="8" t="n">
        <v>827</v>
      </c>
      <c r="I16" s="8" t="n">
        <v>0</v>
      </c>
      <c r="J16" s="4" t="inlineStr">
        <is>
          <t>722119408353</t>
        </is>
      </c>
      <c r="K16" s="4" t="inlineStr">
        <is>
          <t>ZYXQK6639I</t>
        </is>
      </c>
      <c r="L16" s="4" t="inlineStr">
        <is>
          <t>647867016007</t>
        </is>
      </c>
      <c r="M16" s="4" t="n">
        <v>27</v>
      </c>
      <c r="N16" s="4" t="n">
        <v>0</v>
      </c>
      <c r="O16" s="4">
        <f>IFERROR(INDEX('01_Customer_Tracker'!$B:$B,MATCH(B16,'01_Customer_Tracker'!$A:$A,0)),"")</f>
        <v/>
      </c>
    </row>
    <row r="17">
      <c r="A17" s="4" t="inlineStr">
        <is>
          <t>E016</t>
        </is>
      </c>
      <c r="B17" s="4" t="inlineStr">
        <is>
          <t>C032</t>
        </is>
      </c>
      <c r="C17" s="4" t="inlineStr">
        <is>
          <t>Aryan Sharma</t>
        </is>
      </c>
      <c r="D17" s="4" t="inlineStr">
        <is>
          <t>HR</t>
        </is>
      </c>
      <c r="E17" s="8" t="n">
        <v>58183</v>
      </c>
      <c r="F17" s="8" t="n">
        <v>23273</v>
      </c>
      <c r="G17" s="8" t="n">
        <v>11321</v>
      </c>
      <c r="H17" s="8" t="n">
        <v>2346</v>
      </c>
      <c r="I17" s="8" t="n">
        <v>2805</v>
      </c>
      <c r="J17" s="4" t="inlineStr">
        <is>
          <t>383433923053</t>
        </is>
      </c>
      <c r="K17" s="4" t="inlineStr">
        <is>
          <t>JKTDI2465I</t>
        </is>
      </c>
      <c r="L17" s="4" t="inlineStr">
        <is>
          <t>405529978787</t>
        </is>
      </c>
      <c r="M17" s="4" t="n">
        <v>28</v>
      </c>
      <c r="N17" s="4" t="n">
        <v>0</v>
      </c>
      <c r="O17" s="4">
        <f>IFERROR(INDEX('01_Customer_Tracker'!$B:$B,MATCH(B17,'01_Customer_Tracker'!$A:$A,0)),"")</f>
        <v/>
      </c>
    </row>
    <row r="18">
      <c r="A18" s="4" t="inlineStr">
        <is>
          <t>E017</t>
        </is>
      </c>
      <c r="B18" s="4" t="inlineStr">
        <is>
          <t>C048</t>
        </is>
      </c>
      <c r="C18" s="4" t="inlineStr">
        <is>
          <t>Priya Iyer</t>
        </is>
      </c>
      <c r="D18" s="4" t="inlineStr">
        <is>
          <t>Sales</t>
        </is>
      </c>
      <c r="E18" s="8" t="n">
        <v>22419</v>
      </c>
      <c r="F18" s="8" t="n">
        <v>8968</v>
      </c>
      <c r="G18" s="8" t="n">
        <v>6465</v>
      </c>
      <c r="H18" s="8" t="n">
        <v>1351</v>
      </c>
      <c r="I18" s="8" t="n">
        <v>0</v>
      </c>
      <c r="J18" s="4" t="inlineStr">
        <is>
          <t>285332223302</t>
        </is>
      </c>
      <c r="K18" s="4" t="inlineStr">
        <is>
          <t>MFZEM5697B</t>
        </is>
      </c>
      <c r="L18" s="4" t="inlineStr">
        <is>
          <t>333495855868</t>
        </is>
      </c>
      <c r="M18" s="4" t="n">
        <v>27</v>
      </c>
      <c r="N18" s="4" t="n">
        <v>0</v>
      </c>
      <c r="O18" s="4">
        <f>IFERROR(INDEX('01_Customer_Tracker'!$B:$B,MATCH(B18,'01_Customer_Tracker'!$A:$A,0)),"")</f>
        <v/>
      </c>
    </row>
    <row r="19">
      <c r="A19" s="4" t="inlineStr">
        <is>
          <t>E018</t>
        </is>
      </c>
      <c r="B19" s="4" t="inlineStr">
        <is>
          <t>C026</t>
        </is>
      </c>
      <c r="C19" s="4" t="inlineStr">
        <is>
          <t>Riya Verma</t>
        </is>
      </c>
      <c r="D19" s="4" t="inlineStr">
        <is>
          <t>Marketing</t>
        </is>
      </c>
      <c r="E19" s="8" t="n">
        <v>33356</v>
      </c>
      <c r="F19" s="8" t="n">
        <v>13342</v>
      </c>
      <c r="G19" s="8" t="n">
        <v>8351</v>
      </c>
      <c r="H19" s="8" t="n">
        <v>1796</v>
      </c>
      <c r="I19" s="8" t="n">
        <v>2973</v>
      </c>
      <c r="J19" s="4" t="inlineStr">
        <is>
          <t>259911927643</t>
        </is>
      </c>
      <c r="K19" s="4" t="inlineStr">
        <is>
          <t>DHITH8889U</t>
        </is>
      </c>
      <c r="L19" s="4" t="inlineStr">
        <is>
          <t>986111747424</t>
        </is>
      </c>
      <c r="M19" s="4" t="n">
        <v>30</v>
      </c>
      <c r="N19" s="4" t="n">
        <v>0</v>
      </c>
      <c r="O19" s="4">
        <f>IFERROR(INDEX('01_Customer_Tracker'!$B:$B,MATCH(B19,'01_Customer_Tracker'!$A:$A,0)),"")</f>
        <v/>
      </c>
    </row>
    <row r="20">
      <c r="A20" s="4" t="inlineStr">
        <is>
          <t>E019</t>
        </is>
      </c>
      <c r="B20" s="4" t="inlineStr">
        <is>
          <t>C031</t>
        </is>
      </c>
      <c r="C20" s="4" t="inlineStr">
        <is>
          <t>Kiara Chauhan</t>
        </is>
      </c>
      <c r="D20" s="4" t="inlineStr">
        <is>
          <t>HR</t>
        </is>
      </c>
      <c r="E20" s="8" t="n">
        <v>20386</v>
      </c>
      <c r="F20" s="8" t="n">
        <v>8154</v>
      </c>
      <c r="G20" s="8" t="n">
        <v>5806</v>
      </c>
      <c r="H20" s="8" t="n">
        <v>224</v>
      </c>
      <c r="I20" s="8" t="n">
        <v>1334</v>
      </c>
      <c r="J20" s="4" t="inlineStr">
        <is>
          <t>106008109818</t>
        </is>
      </c>
      <c r="K20" s="4" t="inlineStr"/>
      <c r="L20" s="4" t="inlineStr">
        <is>
          <t>248780191030</t>
        </is>
      </c>
      <c r="M20" s="4" t="n">
        <v>24</v>
      </c>
      <c r="N20" s="4" t="n">
        <v>0</v>
      </c>
      <c r="O20" s="4">
        <f>IFERROR(INDEX('01_Customer_Tracker'!$B:$B,MATCH(B20,'01_Customer_Tracker'!$A:$A,0)),"")</f>
        <v/>
      </c>
    </row>
    <row r="21">
      <c r="A21" s="4" t="inlineStr">
        <is>
          <t>E020</t>
        </is>
      </c>
      <c r="B21" s="4" t="inlineStr">
        <is>
          <t>C039</t>
        </is>
      </c>
      <c r="C21" s="4" t="inlineStr">
        <is>
          <t>Arjun Agarwal</t>
        </is>
      </c>
      <c r="D21" s="4" t="inlineStr">
        <is>
          <t>Operations</t>
        </is>
      </c>
      <c r="E21" s="8" t="n">
        <v>58817</v>
      </c>
      <c r="F21" s="8" t="n">
        <v>23527</v>
      </c>
      <c r="G21" s="8" t="n">
        <v>7002</v>
      </c>
      <c r="H21" s="8" t="n">
        <v>3458</v>
      </c>
      <c r="I21" s="8" t="n">
        <v>5087</v>
      </c>
      <c r="J21" s="4" t="inlineStr">
        <is>
          <t>410806414781</t>
        </is>
      </c>
      <c r="K21" s="4" t="inlineStr">
        <is>
          <t>JCTAU1388F</t>
        </is>
      </c>
      <c r="L21" s="4" t="inlineStr">
        <is>
          <t>947384971063</t>
        </is>
      </c>
      <c r="M21" s="4" t="n">
        <v>26</v>
      </c>
      <c r="N21" s="4" t="n">
        <v>0</v>
      </c>
      <c r="O21" s="4">
        <f>IFERROR(INDEX('01_Customer_Tracker'!$B:$B,MATCH(B21,'01_Customer_Tracker'!$A:$A,0)),"")</f>
        <v/>
      </c>
    </row>
    <row r="22">
      <c r="A22" s="4" t="inlineStr">
        <is>
          <t>E021</t>
        </is>
      </c>
      <c r="B22" s="4" t="inlineStr">
        <is>
          <t>C015</t>
        </is>
      </c>
      <c r="C22" s="4" t="inlineStr">
        <is>
          <t>Arjun Rao</t>
        </is>
      </c>
      <c r="D22" s="4" t="inlineStr">
        <is>
          <t>Engineering</t>
        </is>
      </c>
      <c r="E22" s="8" t="n">
        <v>43867</v>
      </c>
      <c r="F22" s="8" t="n">
        <v>17547</v>
      </c>
      <c r="G22" s="8" t="n">
        <v>4277</v>
      </c>
      <c r="H22" s="8" t="n">
        <v>624</v>
      </c>
      <c r="I22" s="8" t="n">
        <v>5078</v>
      </c>
      <c r="J22" s="4" t="inlineStr">
        <is>
          <t>419432251996</t>
        </is>
      </c>
      <c r="K22" s="4" t="inlineStr">
        <is>
          <t>BLEGW7391D</t>
        </is>
      </c>
      <c r="L22" s="4" t="inlineStr">
        <is>
          <t>887117625869</t>
        </is>
      </c>
      <c r="M22" s="4" t="n">
        <v>29</v>
      </c>
      <c r="N22" s="4" t="n">
        <v>0</v>
      </c>
      <c r="O22" s="4">
        <f>IFERROR(INDEX('01_Customer_Tracker'!$B:$B,MATCH(B22,'01_Customer_Tracker'!$A:$A,0)),"")</f>
        <v/>
      </c>
    </row>
    <row r="23">
      <c r="A23" s="4" t="inlineStr">
        <is>
          <t>E022</t>
        </is>
      </c>
      <c r="B23" s="4" t="inlineStr">
        <is>
          <t>C043</t>
        </is>
      </c>
      <c r="C23" s="4" t="inlineStr">
        <is>
          <t>Dhruv Joshi</t>
        </is>
      </c>
      <c r="D23" s="4" t="inlineStr">
        <is>
          <t>Support</t>
        </is>
      </c>
      <c r="E23" s="8" t="n">
        <v>33630</v>
      </c>
      <c r="F23" s="8" t="n">
        <v>13452</v>
      </c>
      <c r="G23" s="8" t="n">
        <v>4997</v>
      </c>
      <c r="H23" s="8" t="n">
        <v>658</v>
      </c>
      <c r="I23" s="8" t="n">
        <v>219</v>
      </c>
      <c r="J23" s="4" t="inlineStr">
        <is>
          <t>889108940318</t>
        </is>
      </c>
      <c r="K23" s="4" t="inlineStr">
        <is>
          <t>YAUIN3539M</t>
        </is>
      </c>
      <c r="L23" s="4" t="inlineStr">
        <is>
          <t>576771099563</t>
        </is>
      </c>
      <c r="M23" s="4" t="n">
        <v>26</v>
      </c>
      <c r="N23" s="4" t="n">
        <v>0</v>
      </c>
      <c r="O23" s="4">
        <f>IFERROR(INDEX('01_Customer_Tracker'!$B:$B,MATCH(B23,'01_Customer_Tracker'!$A:$A,0)),"")</f>
        <v/>
      </c>
    </row>
    <row r="24">
      <c r="A24" s="4" t="inlineStr">
        <is>
          <t>E023</t>
        </is>
      </c>
      <c r="B24" s="4" t="inlineStr">
        <is>
          <t>C021</t>
        </is>
      </c>
      <c r="C24" s="4" t="inlineStr">
        <is>
          <t>Dhruv Singh</t>
        </is>
      </c>
      <c r="D24" s="4" t="inlineStr">
        <is>
          <t>Engineering</t>
        </is>
      </c>
      <c r="E24" s="8" t="n">
        <v>41978</v>
      </c>
      <c r="F24" s="8" t="n">
        <v>16791</v>
      </c>
      <c r="G24" s="8" t="n">
        <v>2819</v>
      </c>
      <c r="H24" s="8" t="n">
        <v>612</v>
      </c>
      <c r="I24" s="8" t="n">
        <v>0</v>
      </c>
      <c r="J24" s="4" t="inlineStr">
        <is>
          <t>953673469655</t>
        </is>
      </c>
      <c r="K24" s="4" t="inlineStr">
        <is>
          <t>YDEJO9637F</t>
        </is>
      </c>
      <c r="L24" s="4" t="inlineStr">
        <is>
          <t>327866145513</t>
        </is>
      </c>
      <c r="M24" s="4" t="n">
        <v>30</v>
      </c>
      <c r="N24" s="4" t="n">
        <v>0</v>
      </c>
      <c r="O24" s="4">
        <f>IFERROR(INDEX('01_Customer_Tracker'!$B:$B,MATCH(B24,'01_Customer_Tracker'!$A:$A,0)),"")</f>
        <v/>
      </c>
    </row>
    <row r="25">
      <c r="A25" s="4" t="inlineStr">
        <is>
          <t>E024</t>
        </is>
      </c>
      <c r="B25" s="4" t="inlineStr">
        <is>
          <t>C046</t>
        </is>
      </c>
      <c r="C25" s="4" t="inlineStr">
        <is>
          <t>Reyansh Kulkarni</t>
        </is>
      </c>
      <c r="D25" s="4" t="inlineStr">
        <is>
          <t>Engineering</t>
        </is>
      </c>
      <c r="E25" s="8" t="n">
        <v>39114</v>
      </c>
      <c r="F25" s="8" t="n">
        <v>15646</v>
      </c>
      <c r="G25" s="8" t="n">
        <v>11111</v>
      </c>
      <c r="H25" s="8" t="n">
        <v>1902</v>
      </c>
      <c r="I25" s="8" t="n">
        <v>0</v>
      </c>
      <c r="J25" s="4" t="inlineStr">
        <is>
          <t>406446732792</t>
        </is>
      </c>
      <c r="K25" s="4" t="inlineStr">
        <is>
          <t>NNREV9896D</t>
        </is>
      </c>
      <c r="L25" s="4" t="inlineStr">
        <is>
          <t>767453169457</t>
        </is>
      </c>
      <c r="M25" s="4" t="n">
        <v>29</v>
      </c>
      <c r="N25" s="4" t="n">
        <v>0</v>
      </c>
      <c r="O25" s="4">
        <f>IFERROR(INDEX('01_Customer_Tracker'!$B:$B,MATCH(B25,'01_Customer_Tracker'!$A:$A,0)),"")</f>
        <v/>
      </c>
    </row>
    <row r="26">
      <c r="A26" s="4" t="inlineStr">
        <is>
          <t>E025</t>
        </is>
      </c>
      <c r="B26" s="4" t="inlineStr">
        <is>
          <t>C043</t>
        </is>
      </c>
      <c r="C26" s="4" t="inlineStr">
        <is>
          <t>Tanvi Reddy</t>
        </is>
      </c>
      <c r="D26" s="4" t="inlineStr">
        <is>
          <t>Support</t>
        </is>
      </c>
      <c r="E26" s="8" t="n">
        <v>84049</v>
      </c>
      <c r="F26" s="8" t="n">
        <v>33620</v>
      </c>
      <c r="G26" s="8" t="n">
        <v>8659</v>
      </c>
      <c r="H26" s="8" t="n">
        <v>2295</v>
      </c>
      <c r="I26" s="8" t="n">
        <v>5590</v>
      </c>
      <c r="J26" s="4" t="inlineStr">
        <is>
          <t>796512460190</t>
        </is>
      </c>
      <c r="K26" s="4" t="inlineStr">
        <is>
          <t>IRQBT6735U</t>
        </is>
      </c>
      <c r="L26" s="4" t="inlineStr">
        <is>
          <t>290759149972</t>
        </is>
      </c>
      <c r="M26" s="4" t="n">
        <v>25</v>
      </c>
      <c r="N26" s="4" t="n">
        <v>0</v>
      </c>
      <c r="O26" s="4">
        <f>IFERROR(INDEX('01_Customer_Tracker'!$B:$B,MATCH(B26,'01_Customer_Tracker'!$A:$A,0)),"")</f>
        <v/>
      </c>
    </row>
    <row r="27">
      <c r="A27" s="4" t="inlineStr">
        <is>
          <t>E026</t>
        </is>
      </c>
      <c r="B27" s="4" t="inlineStr">
        <is>
          <t>C022</t>
        </is>
      </c>
      <c r="C27" s="4" t="inlineStr">
        <is>
          <t>Varun Nair</t>
        </is>
      </c>
      <c r="D27" s="4" t="inlineStr">
        <is>
          <t>HR</t>
        </is>
      </c>
      <c r="E27" s="8" t="n">
        <v>71546</v>
      </c>
      <c r="F27" s="8" t="n">
        <v>28618</v>
      </c>
      <c r="G27" s="8" t="n">
        <v>1524</v>
      </c>
      <c r="H27" s="8" t="n">
        <v>3162</v>
      </c>
      <c r="I27" s="8" t="n">
        <v>5960</v>
      </c>
      <c r="J27" s="4" t="inlineStr">
        <is>
          <t>71442475474</t>
        </is>
      </c>
      <c r="K27" s="4" t="inlineStr">
        <is>
          <t>KLUDL2370U</t>
        </is>
      </c>
      <c r="L27" s="4" t="inlineStr">
        <is>
          <t>453634652412</t>
        </is>
      </c>
      <c r="M27" s="4" t="n">
        <v>28</v>
      </c>
      <c r="N27" s="4" t="n">
        <v>0</v>
      </c>
      <c r="O27" s="4">
        <f>IFERROR(INDEX('01_Customer_Tracker'!$B:$B,MATCH(B27,'01_Customer_Tracker'!$A:$A,0)),"")</f>
        <v/>
      </c>
    </row>
    <row r="28">
      <c r="A28" s="4" t="inlineStr">
        <is>
          <t>E027</t>
        </is>
      </c>
      <c r="B28" s="4" t="inlineStr">
        <is>
          <t>C047</t>
        </is>
      </c>
      <c r="C28" s="4" t="inlineStr">
        <is>
          <t>Om Patel</t>
        </is>
      </c>
      <c r="D28" s="4" t="inlineStr">
        <is>
          <t>Operations</t>
        </is>
      </c>
      <c r="E28" s="8" t="n">
        <v>69463</v>
      </c>
      <c r="F28" s="8" t="n">
        <v>27785</v>
      </c>
      <c r="G28" s="8" t="n">
        <v>9055</v>
      </c>
      <c r="H28" s="8" t="n">
        <v>2562</v>
      </c>
      <c r="I28" s="8" t="n">
        <v>0</v>
      </c>
      <c r="J28" s="4" t="inlineStr">
        <is>
          <t>603698403148</t>
        </is>
      </c>
      <c r="K28" s="4" t="inlineStr">
        <is>
          <t>BMPYN4084O</t>
        </is>
      </c>
      <c r="L28" s="4" t="inlineStr">
        <is>
          <t>710284654791</t>
        </is>
      </c>
      <c r="M28" s="4" t="n">
        <v>25</v>
      </c>
      <c r="N28" s="4" t="n">
        <v>0</v>
      </c>
      <c r="O28" s="4">
        <f>IFERROR(INDEX('01_Customer_Tracker'!$B:$B,MATCH(B28,'01_Customer_Tracker'!$A:$A,0)),"")</f>
        <v/>
      </c>
    </row>
    <row r="29">
      <c r="A29" s="4" t="inlineStr">
        <is>
          <t>E028</t>
        </is>
      </c>
      <c r="B29" s="4" t="inlineStr">
        <is>
          <t>C033</t>
        </is>
      </c>
      <c r="C29" s="4" t="inlineStr">
        <is>
          <t>Aryan Sharma</t>
        </is>
      </c>
      <c r="D29" s="4" t="inlineStr">
        <is>
          <t>Marketing</t>
        </is>
      </c>
      <c r="E29" s="8" t="n">
        <v>48722</v>
      </c>
      <c r="F29" s="8" t="n">
        <v>19489</v>
      </c>
      <c r="G29" s="8" t="n">
        <v>4541</v>
      </c>
      <c r="H29" s="8" t="n">
        <v>3478</v>
      </c>
      <c r="I29" s="8" t="n">
        <v>0</v>
      </c>
      <c r="J29" s="4" t="inlineStr">
        <is>
          <t>991889639331</t>
        </is>
      </c>
      <c r="K29" s="4" t="inlineStr">
        <is>
          <t>LNTRE3722J</t>
        </is>
      </c>
      <c r="L29" s="4" t="inlineStr">
        <is>
          <t>429701939700</t>
        </is>
      </c>
      <c r="M29" s="4" t="n">
        <v>30</v>
      </c>
      <c r="N29" s="4" t="n">
        <v>0</v>
      </c>
      <c r="O29" s="4">
        <f>IFERROR(INDEX('01_Customer_Tracker'!$B:$B,MATCH(B29,'01_Customer_Tracker'!$A:$A,0)),"")</f>
        <v/>
      </c>
    </row>
    <row r="30">
      <c r="A30" s="4" t="inlineStr">
        <is>
          <t>E029</t>
        </is>
      </c>
      <c r="B30" s="4" t="inlineStr">
        <is>
          <t>C039</t>
        </is>
      </c>
      <c r="C30" s="4" t="inlineStr">
        <is>
          <t>Myra Mehta</t>
        </is>
      </c>
      <c r="D30" s="4" t="inlineStr">
        <is>
          <t>Marketing</t>
        </is>
      </c>
      <c r="E30" s="8" t="n">
        <v>57136</v>
      </c>
      <c r="F30" s="8" t="n">
        <v>22854</v>
      </c>
      <c r="G30" s="8" t="n">
        <v>3069</v>
      </c>
      <c r="H30" s="8" t="n">
        <v>3289</v>
      </c>
      <c r="I30" s="8" t="n">
        <v>0</v>
      </c>
      <c r="J30" s="4" t="inlineStr">
        <is>
          <t>908015463639</t>
        </is>
      </c>
      <c r="K30" s="4" t="inlineStr">
        <is>
          <t>IKEQK4080S</t>
        </is>
      </c>
      <c r="L30" s="4" t="inlineStr">
        <is>
          <t>496045097409</t>
        </is>
      </c>
      <c r="M30" s="4" t="n">
        <v>26</v>
      </c>
      <c r="N30" s="4" t="n">
        <v>2</v>
      </c>
      <c r="O30" s="4">
        <f>IFERROR(INDEX('01_Customer_Tracker'!$B:$B,MATCH(B30,'01_Customer_Tracker'!$A:$A,0)),"")</f>
        <v/>
      </c>
    </row>
    <row r="31">
      <c r="A31" s="4" t="inlineStr">
        <is>
          <t>E030</t>
        </is>
      </c>
      <c r="B31" s="4" t="inlineStr">
        <is>
          <t>C035</t>
        </is>
      </c>
      <c r="C31" s="4" t="inlineStr">
        <is>
          <t>Vihaan Patel</t>
        </is>
      </c>
      <c r="D31" s="4" t="inlineStr">
        <is>
          <t>HR</t>
        </is>
      </c>
      <c r="E31" s="8" t="n">
        <v>24847</v>
      </c>
      <c r="F31" s="8" t="n">
        <v>9939</v>
      </c>
      <c r="G31" s="8" t="n">
        <v>8382</v>
      </c>
      <c r="H31" s="8" t="n">
        <v>1456</v>
      </c>
      <c r="I31" s="8" t="n">
        <v>3977</v>
      </c>
      <c r="J31" s="4" t="inlineStr">
        <is>
          <t>333281374244</t>
        </is>
      </c>
      <c r="K31" s="4" t="inlineStr">
        <is>
          <t>UFEUY8744T</t>
        </is>
      </c>
      <c r="L31" s="4" t="inlineStr">
        <is>
          <t>701064242962</t>
        </is>
      </c>
      <c r="M31" s="4" t="n">
        <v>25</v>
      </c>
      <c r="N31" s="4" t="n">
        <v>2</v>
      </c>
      <c r="O31" s="4">
        <f>IFERROR(INDEX('01_Customer_Tracker'!$B:$B,MATCH(B31,'01_Customer_Tracker'!$A:$A,0)),"")</f>
        <v/>
      </c>
    </row>
    <row r="32">
      <c r="A32" s="4" t="inlineStr">
        <is>
          <t>E031</t>
        </is>
      </c>
      <c r="B32" s="4" t="inlineStr">
        <is>
          <t>C002</t>
        </is>
      </c>
      <c r="C32" s="4" t="inlineStr">
        <is>
          <t>Diya Menon</t>
        </is>
      </c>
      <c r="D32" s="4" t="inlineStr">
        <is>
          <t>Engineering</t>
        </is>
      </c>
      <c r="E32" s="8" t="n">
        <v>36040</v>
      </c>
      <c r="F32" s="8" t="n">
        <v>14416</v>
      </c>
      <c r="G32" s="8" t="n">
        <v>4476</v>
      </c>
      <c r="H32" s="8" t="n">
        <v>810</v>
      </c>
      <c r="I32" s="8" t="n">
        <v>0</v>
      </c>
      <c r="J32" s="4" t="inlineStr">
        <is>
          <t>210497183844</t>
        </is>
      </c>
      <c r="K32" s="4" t="inlineStr">
        <is>
          <t>RYOOS7921Y</t>
        </is>
      </c>
      <c r="L32" s="4" t="inlineStr">
        <is>
          <t>649054434597</t>
        </is>
      </c>
      <c r="M32" s="4" t="n">
        <v>29</v>
      </c>
      <c r="N32" s="4" t="n">
        <v>0</v>
      </c>
      <c r="O32" s="4">
        <f>IFERROR(INDEX('01_Customer_Tracker'!$B:$B,MATCH(B32,'01_Customer_Tracker'!$A:$A,0)),"")</f>
        <v/>
      </c>
    </row>
    <row r="33">
      <c r="A33" s="4" t="inlineStr">
        <is>
          <t>E032</t>
        </is>
      </c>
      <c r="B33" s="4" t="inlineStr">
        <is>
          <t>C029</t>
        </is>
      </c>
      <c r="C33" s="4" t="inlineStr">
        <is>
          <t>Ananya Verma</t>
        </is>
      </c>
      <c r="D33" s="4" t="inlineStr">
        <is>
          <t>Operations</t>
        </is>
      </c>
      <c r="E33" s="8" t="n">
        <v>68849</v>
      </c>
      <c r="F33" s="8" t="n">
        <v>27540</v>
      </c>
      <c r="G33" s="8" t="n">
        <v>11749</v>
      </c>
      <c r="H33" s="8" t="n">
        <v>2860</v>
      </c>
      <c r="I33" s="8" t="n">
        <v>0</v>
      </c>
      <c r="J33" s="4" t="inlineStr">
        <is>
          <t>32995306523</t>
        </is>
      </c>
      <c r="K33" s="4" t="inlineStr">
        <is>
          <t>KOKSW9661P</t>
        </is>
      </c>
      <c r="L33" s="4" t="inlineStr">
        <is>
          <t>499548597755</t>
        </is>
      </c>
      <c r="M33" s="4" t="n">
        <v>25</v>
      </c>
      <c r="N33" s="4" t="n">
        <v>0</v>
      </c>
      <c r="O33" s="4">
        <f>IFERROR(INDEX('01_Customer_Tracker'!$B:$B,MATCH(B33,'01_Customer_Tracker'!$A:$A,0)),"")</f>
        <v/>
      </c>
    </row>
    <row r="34">
      <c r="A34" s="4" t="inlineStr">
        <is>
          <t>E033</t>
        </is>
      </c>
      <c r="B34" s="4" t="inlineStr">
        <is>
          <t>C023</t>
        </is>
      </c>
      <c r="C34" s="4" t="inlineStr">
        <is>
          <t>Siddharth Patel</t>
        </is>
      </c>
      <c r="D34" s="4" t="inlineStr">
        <is>
          <t>Operations</t>
        </is>
      </c>
      <c r="E34" s="8" t="n">
        <v>79246</v>
      </c>
      <c r="F34" s="8" t="n">
        <v>31698</v>
      </c>
      <c r="G34" s="8" t="n">
        <v>7217</v>
      </c>
      <c r="H34" s="8" t="n">
        <v>4466</v>
      </c>
      <c r="I34" s="8" t="n">
        <v>0</v>
      </c>
      <c r="J34" s="4" t="inlineStr">
        <is>
          <t>340770154288</t>
        </is>
      </c>
      <c r="K34" s="4" t="inlineStr">
        <is>
          <t>MVGKX9589Y</t>
        </is>
      </c>
      <c r="L34" s="4" t="inlineStr">
        <is>
          <t>858990597184</t>
        </is>
      </c>
      <c r="M34" s="4" t="n">
        <v>30</v>
      </c>
      <c r="N34" s="4" t="n">
        <v>0</v>
      </c>
      <c r="O34" s="4">
        <f>IFERROR(INDEX('01_Customer_Tracker'!$B:$B,MATCH(B34,'01_Customer_Tracker'!$A:$A,0)),"")</f>
        <v/>
      </c>
    </row>
    <row r="35">
      <c r="A35" s="4" t="inlineStr">
        <is>
          <t>E034</t>
        </is>
      </c>
      <c r="B35" s="4" t="inlineStr">
        <is>
          <t>C031</t>
        </is>
      </c>
      <c r="C35" s="4" t="inlineStr">
        <is>
          <t>Amit Chauhan</t>
        </is>
      </c>
      <c r="D35" s="4" t="inlineStr">
        <is>
          <t>Support</t>
        </is>
      </c>
      <c r="E35" s="8" t="n">
        <v>32488</v>
      </c>
      <c r="F35" s="8" t="n">
        <v>12995</v>
      </c>
      <c r="G35" s="8" t="n">
        <v>9507</v>
      </c>
      <c r="H35" s="8" t="n">
        <v>273</v>
      </c>
      <c r="I35" s="8" t="n">
        <v>0</v>
      </c>
      <c r="J35" s="4" t="inlineStr">
        <is>
          <t>247824013387</t>
        </is>
      </c>
      <c r="K35" s="4" t="inlineStr">
        <is>
          <t>MPQQH3748G</t>
        </is>
      </c>
      <c r="L35" s="4" t="inlineStr">
        <is>
          <t>627365236685</t>
        </is>
      </c>
      <c r="M35" s="4" t="n">
        <v>26</v>
      </c>
      <c r="N35" s="4" t="n">
        <v>1</v>
      </c>
      <c r="O35" s="4">
        <f>IFERROR(INDEX('01_Customer_Tracker'!$B:$B,MATCH(B35,'01_Customer_Tracker'!$A:$A,0)),"")</f>
        <v/>
      </c>
    </row>
    <row r="36">
      <c r="A36" s="4" t="inlineStr">
        <is>
          <t>E035</t>
        </is>
      </c>
      <c r="B36" s="4" t="inlineStr">
        <is>
          <t>C038</t>
        </is>
      </c>
      <c r="C36" s="4" t="inlineStr">
        <is>
          <t>Shaurya Pillai</t>
        </is>
      </c>
      <c r="D36" s="4" t="inlineStr">
        <is>
          <t>Operations</t>
        </is>
      </c>
      <c r="E36" s="8" t="n">
        <v>79542</v>
      </c>
      <c r="F36" s="8" t="n">
        <v>31817</v>
      </c>
      <c r="G36" s="8" t="n">
        <v>7495</v>
      </c>
      <c r="H36" s="8" t="n">
        <v>1067</v>
      </c>
      <c r="I36" s="8" t="n">
        <v>235</v>
      </c>
      <c r="J36" s="4" t="inlineStr">
        <is>
          <t>799535727323</t>
        </is>
      </c>
      <c r="K36" s="4" t="inlineStr">
        <is>
          <t>IDVGD7298U</t>
        </is>
      </c>
      <c r="L36" s="4" t="inlineStr">
        <is>
          <t>204133750578</t>
        </is>
      </c>
      <c r="M36" s="4" t="n">
        <v>24</v>
      </c>
      <c r="N36" s="4" t="n">
        <v>0</v>
      </c>
      <c r="O36" s="4">
        <f>IFERROR(INDEX('01_Customer_Tracker'!$B:$B,MATCH(B36,'01_Customer_Tracker'!$A:$A,0)),"")</f>
        <v/>
      </c>
    </row>
    <row r="37">
      <c r="A37" s="4" t="inlineStr">
        <is>
          <t>E036</t>
        </is>
      </c>
      <c r="B37" s="4" t="inlineStr">
        <is>
          <t>C023</t>
        </is>
      </c>
      <c r="C37" s="4" t="inlineStr">
        <is>
          <t>Myra Nair</t>
        </is>
      </c>
      <c r="D37" s="4" t="inlineStr">
        <is>
          <t>Sales</t>
        </is>
      </c>
      <c r="E37" s="8" t="n">
        <v>85942</v>
      </c>
      <c r="F37" s="8" t="n">
        <v>34377</v>
      </c>
      <c r="G37" s="8" t="n">
        <v>3116</v>
      </c>
      <c r="H37" s="8" t="n">
        <v>181</v>
      </c>
      <c r="I37" s="8" t="n">
        <v>0</v>
      </c>
      <c r="J37" s="4" t="inlineStr">
        <is>
          <t>933571774588</t>
        </is>
      </c>
      <c r="K37" s="4" t="inlineStr">
        <is>
          <t>KHZQB9445D</t>
        </is>
      </c>
      <c r="L37" s="4" t="inlineStr">
        <is>
          <t>811664176505</t>
        </is>
      </c>
      <c r="M37" s="4" t="n">
        <v>25</v>
      </c>
      <c r="N37" s="4" t="n">
        <v>0</v>
      </c>
      <c r="O37" s="4">
        <f>IFERROR(INDEX('01_Customer_Tracker'!$B:$B,MATCH(B37,'01_Customer_Tracker'!$A:$A,0)),"")</f>
        <v/>
      </c>
    </row>
    <row r="38">
      <c r="A38" s="4" t="inlineStr">
        <is>
          <t>E037</t>
        </is>
      </c>
      <c r="B38" s="4" t="inlineStr">
        <is>
          <t>C009</t>
        </is>
      </c>
      <c r="C38" s="4" t="inlineStr">
        <is>
          <t>Ananya Iyer</t>
        </is>
      </c>
      <c r="D38" s="4" t="inlineStr">
        <is>
          <t>HR</t>
        </is>
      </c>
      <c r="E38" s="8" t="n">
        <v>48944</v>
      </c>
      <c r="F38" s="8" t="n">
        <v>19578</v>
      </c>
      <c r="G38" s="8" t="n">
        <v>2674</v>
      </c>
      <c r="H38" s="8" t="n">
        <v>2783</v>
      </c>
      <c r="I38" s="8" t="n">
        <v>4995</v>
      </c>
      <c r="J38" s="4" t="inlineStr">
        <is>
          <t>429260440732</t>
        </is>
      </c>
      <c r="K38" s="4" t="inlineStr">
        <is>
          <t>NOGNH7174U</t>
        </is>
      </c>
      <c r="L38" s="4" t="inlineStr">
        <is>
          <t>992837804974</t>
        </is>
      </c>
      <c r="M38" s="4" t="n">
        <v>28</v>
      </c>
      <c r="N38" s="4" t="n">
        <v>0</v>
      </c>
      <c r="O38" s="4">
        <f>IFERROR(INDEX('01_Customer_Tracker'!$B:$B,MATCH(B38,'01_Customer_Tracker'!$A:$A,0)),"")</f>
        <v/>
      </c>
    </row>
    <row r="39">
      <c r="A39" s="4" t="inlineStr">
        <is>
          <t>E038</t>
        </is>
      </c>
      <c r="B39" s="4" t="inlineStr">
        <is>
          <t>C011</t>
        </is>
      </c>
      <c r="C39" s="4" t="inlineStr">
        <is>
          <t>Vivaan Joshi</t>
        </is>
      </c>
      <c r="D39" s="4" t="inlineStr">
        <is>
          <t>Engineering</t>
        </is>
      </c>
      <c r="E39" s="8" t="n">
        <v>22139</v>
      </c>
      <c r="F39" s="8" t="n">
        <v>8856</v>
      </c>
      <c r="G39" s="8" t="n">
        <v>8675</v>
      </c>
      <c r="H39" s="8" t="n">
        <v>1289</v>
      </c>
      <c r="I39" s="8" t="n">
        <v>0</v>
      </c>
      <c r="J39" s="4" t="inlineStr">
        <is>
          <t>325143123752</t>
        </is>
      </c>
      <c r="K39" s="4" t="inlineStr">
        <is>
          <t>HLELF1462J</t>
        </is>
      </c>
      <c r="L39" s="4" t="inlineStr">
        <is>
          <t>418003925561</t>
        </is>
      </c>
      <c r="M39" s="4" t="n">
        <v>28</v>
      </c>
      <c r="N39" s="4" t="n">
        <v>0</v>
      </c>
      <c r="O39" s="4">
        <f>IFERROR(INDEX('01_Customer_Tracker'!$B:$B,MATCH(B39,'01_Customer_Tracker'!$A:$A,0)),"")</f>
        <v/>
      </c>
    </row>
    <row r="40">
      <c r="A40" s="4" t="inlineStr">
        <is>
          <t>E039</t>
        </is>
      </c>
      <c r="B40" s="4" t="inlineStr">
        <is>
          <t>C009</t>
        </is>
      </c>
      <c r="C40" s="4" t="inlineStr">
        <is>
          <t>Advait Pillai</t>
        </is>
      </c>
      <c r="D40" s="4" t="inlineStr">
        <is>
          <t>Marketing</t>
        </is>
      </c>
      <c r="E40" s="8" t="n">
        <v>76592</v>
      </c>
      <c r="F40" s="8" t="n">
        <v>30637</v>
      </c>
      <c r="G40" s="8" t="n">
        <v>11333</v>
      </c>
      <c r="H40" s="8" t="n">
        <v>2552</v>
      </c>
      <c r="I40" s="8" t="n">
        <v>1411</v>
      </c>
      <c r="J40" s="4" t="inlineStr">
        <is>
          <t>803375539503</t>
        </is>
      </c>
      <c r="K40" s="4" t="inlineStr">
        <is>
          <t>TEMFX3406D</t>
        </is>
      </c>
      <c r="L40" s="4" t="inlineStr">
        <is>
          <t>891161901692</t>
        </is>
      </c>
      <c r="M40" s="4" t="n">
        <v>30</v>
      </c>
      <c r="N40" s="4" t="n">
        <v>0</v>
      </c>
      <c r="O40" s="4">
        <f>IFERROR(INDEX('01_Customer_Tracker'!$B:$B,MATCH(B40,'01_Customer_Tracker'!$A:$A,0)),"")</f>
        <v/>
      </c>
    </row>
    <row r="41">
      <c r="A41" s="4" t="inlineStr">
        <is>
          <t>E040</t>
        </is>
      </c>
      <c r="B41" s="4" t="inlineStr">
        <is>
          <t>C048</t>
        </is>
      </c>
      <c r="C41" s="4" t="inlineStr">
        <is>
          <t>Saanvi Joshi</t>
        </is>
      </c>
      <c r="D41" s="4" t="inlineStr">
        <is>
          <t>Sales</t>
        </is>
      </c>
      <c r="E41" s="8" t="n">
        <v>20063</v>
      </c>
      <c r="F41" s="8" t="n">
        <v>8025</v>
      </c>
      <c r="G41" s="8" t="n">
        <v>6855</v>
      </c>
      <c r="H41" s="8" t="n">
        <v>84</v>
      </c>
      <c r="I41" s="8" t="n">
        <v>520</v>
      </c>
      <c r="J41" s="4" t="inlineStr">
        <is>
          <t>776877642478</t>
        </is>
      </c>
      <c r="K41" s="4" t="inlineStr">
        <is>
          <t>LCAIQ7719V</t>
        </is>
      </c>
      <c r="L41" s="4" t="inlineStr">
        <is>
          <t>251200763719</t>
        </is>
      </c>
      <c r="M41" s="4" t="n">
        <v>24</v>
      </c>
      <c r="N41" s="4" t="n">
        <v>0</v>
      </c>
      <c r="O41" s="4">
        <f>IFERROR(INDEX('01_Customer_Tracker'!$B:$B,MATCH(B41,'01_Customer_Tracker'!$A:$A,0)),"")</f>
        <v/>
      </c>
    </row>
    <row r="42">
      <c r="A42" s="4" t="inlineStr">
        <is>
          <t>E041</t>
        </is>
      </c>
      <c r="B42" s="4" t="inlineStr">
        <is>
          <t>C027</t>
        </is>
      </c>
      <c r="C42" s="4" t="inlineStr">
        <is>
          <t>Sai Nair</t>
        </is>
      </c>
      <c r="D42" s="4" t="inlineStr">
        <is>
          <t>Support</t>
        </is>
      </c>
      <c r="E42" s="8" t="n">
        <v>56486</v>
      </c>
      <c r="F42" s="8" t="n">
        <v>22594</v>
      </c>
      <c r="G42" s="8" t="n">
        <v>7158</v>
      </c>
      <c r="H42" s="8" t="n">
        <v>2054</v>
      </c>
      <c r="I42" s="8" t="n">
        <v>4915</v>
      </c>
      <c r="J42" s="4" t="inlineStr">
        <is>
          <t>400536702758</t>
        </is>
      </c>
      <c r="K42" s="4" t="inlineStr">
        <is>
          <t>OTPGI7770F</t>
        </is>
      </c>
      <c r="L42" s="4" t="inlineStr">
        <is>
          <t>775239389152</t>
        </is>
      </c>
      <c r="M42" s="4" t="n">
        <v>27</v>
      </c>
      <c r="N42" s="4" t="n">
        <v>0</v>
      </c>
      <c r="O42" s="4">
        <f>IFERROR(INDEX('01_Customer_Tracker'!$B:$B,MATCH(B42,'01_Customer_Tracker'!$A:$A,0)),"")</f>
        <v/>
      </c>
    </row>
    <row r="43">
      <c r="A43" s="4" t="inlineStr">
        <is>
          <t>E042</t>
        </is>
      </c>
      <c r="B43" s="4" t="inlineStr">
        <is>
          <t>C006</t>
        </is>
      </c>
      <c r="C43" s="4" t="inlineStr">
        <is>
          <t>Saanvi Singh</t>
        </is>
      </c>
      <c r="D43" s="4" t="inlineStr">
        <is>
          <t>Operations</t>
        </is>
      </c>
      <c r="E43" s="8" t="n">
        <v>31439</v>
      </c>
      <c r="F43" s="8" t="n">
        <v>12576</v>
      </c>
      <c r="G43" s="8" t="n">
        <v>8066</v>
      </c>
      <c r="H43" s="8" t="n">
        <v>524</v>
      </c>
      <c r="I43" s="8" t="n">
        <v>0</v>
      </c>
      <c r="J43" s="4" t="inlineStr">
        <is>
          <t>127721244553</t>
        </is>
      </c>
      <c r="K43" s="4" t="inlineStr">
        <is>
          <t>TCIEE2577B</t>
        </is>
      </c>
      <c r="L43" s="4" t="inlineStr">
        <is>
          <t>458655961126</t>
        </is>
      </c>
      <c r="M43" s="4" t="n">
        <v>29</v>
      </c>
      <c r="N43" s="4" t="n">
        <v>0</v>
      </c>
      <c r="O43" s="4">
        <f>IFERROR(INDEX('01_Customer_Tracker'!$B:$B,MATCH(B43,'01_Customer_Tracker'!$A:$A,0)),"")</f>
        <v/>
      </c>
    </row>
    <row r="44">
      <c r="A44" s="4" t="inlineStr">
        <is>
          <t>E043</t>
        </is>
      </c>
      <c r="B44" s="4" t="inlineStr">
        <is>
          <t>C029</t>
        </is>
      </c>
      <c r="C44" s="4" t="inlineStr">
        <is>
          <t>Nikhil Gupta</t>
        </is>
      </c>
      <c r="D44" s="4" t="inlineStr">
        <is>
          <t>Marketing</t>
        </is>
      </c>
      <c r="E44" s="8" t="n">
        <v>64015</v>
      </c>
      <c r="F44" s="8" t="n">
        <v>25606</v>
      </c>
      <c r="G44" s="8" t="n">
        <v>3385</v>
      </c>
      <c r="H44" s="8" t="n">
        <v>2297</v>
      </c>
      <c r="I44" s="8" t="n">
        <v>0</v>
      </c>
      <c r="J44" s="4" t="inlineStr">
        <is>
          <t>876333357062</t>
        </is>
      </c>
      <c r="K44" s="4" t="inlineStr">
        <is>
          <t>YZYWL2730Q</t>
        </is>
      </c>
      <c r="L44" s="4" t="inlineStr">
        <is>
          <t>690466491184</t>
        </is>
      </c>
      <c r="M44" s="4" t="n">
        <v>25</v>
      </c>
      <c r="N44" s="4" t="n">
        <v>0</v>
      </c>
      <c r="O44" s="4">
        <f>IFERROR(INDEX('01_Customer_Tracker'!$B:$B,MATCH(B44,'01_Customer_Tracker'!$A:$A,0)),"")</f>
        <v/>
      </c>
    </row>
    <row r="45">
      <c r="A45" s="4" t="inlineStr">
        <is>
          <t>E044</t>
        </is>
      </c>
      <c r="B45" s="4" t="inlineStr">
        <is>
          <t>C048</t>
        </is>
      </c>
      <c r="C45" s="4" t="inlineStr">
        <is>
          <t>Ananya Rao</t>
        </is>
      </c>
      <c r="D45" s="4" t="inlineStr">
        <is>
          <t>Engineering</t>
        </is>
      </c>
      <c r="E45" s="8" t="n">
        <v>57481</v>
      </c>
      <c r="F45" s="8" t="n">
        <v>22992</v>
      </c>
      <c r="G45" s="8" t="n">
        <v>9332</v>
      </c>
      <c r="H45" s="8" t="n">
        <v>2533</v>
      </c>
      <c r="I45" s="8" t="n">
        <v>0</v>
      </c>
      <c r="J45" s="4" t="inlineStr">
        <is>
          <t>713427444024</t>
        </is>
      </c>
      <c r="K45" s="4" t="inlineStr">
        <is>
          <t>MANBY6413J</t>
        </is>
      </c>
      <c r="L45" s="4" t="inlineStr">
        <is>
          <t>334166189808</t>
        </is>
      </c>
      <c r="M45" s="4" t="n">
        <v>27</v>
      </c>
      <c r="N45" s="4" t="n">
        <v>0</v>
      </c>
      <c r="O45" s="4">
        <f>IFERROR(INDEX('01_Customer_Tracker'!$B:$B,MATCH(B45,'01_Customer_Tracker'!$A:$A,0)),"")</f>
        <v/>
      </c>
    </row>
    <row r="46">
      <c r="A46" s="4" t="inlineStr">
        <is>
          <t>E045</t>
        </is>
      </c>
      <c r="B46" s="4" t="inlineStr">
        <is>
          <t>C037</t>
        </is>
      </c>
      <c r="C46" s="4" t="inlineStr">
        <is>
          <t>Ananya Menon</t>
        </is>
      </c>
      <c r="D46" s="4" t="inlineStr">
        <is>
          <t>Engineering</t>
        </is>
      </c>
      <c r="E46" s="8" t="n">
        <v>76995</v>
      </c>
      <c r="F46" s="8" t="n">
        <v>30798</v>
      </c>
      <c r="G46" s="8" t="n">
        <v>5159</v>
      </c>
      <c r="H46" s="8" t="n">
        <v>3456</v>
      </c>
      <c r="I46" s="8" t="n">
        <v>0</v>
      </c>
      <c r="J46" s="4" t="inlineStr">
        <is>
          <t>277989793879</t>
        </is>
      </c>
      <c r="K46" s="4" t="inlineStr">
        <is>
          <t>DNEIL6076Q</t>
        </is>
      </c>
      <c r="L46" s="4" t="inlineStr">
        <is>
          <t>159471289827</t>
        </is>
      </c>
      <c r="M46" s="4" t="n">
        <v>28</v>
      </c>
      <c r="N46" s="4" t="n">
        <v>0</v>
      </c>
      <c r="O46" s="4">
        <f>IFERROR(INDEX('01_Customer_Tracker'!$B:$B,MATCH(B46,'01_Customer_Tracker'!$A:$A,0)),"")</f>
        <v/>
      </c>
    </row>
    <row r="47">
      <c r="A47" s="4" t="inlineStr">
        <is>
          <t>E046</t>
        </is>
      </c>
      <c r="B47" s="4" t="inlineStr">
        <is>
          <t>C048</t>
        </is>
      </c>
      <c r="C47" s="4" t="inlineStr">
        <is>
          <t>Ishaan Chatterjee</t>
        </is>
      </c>
      <c r="D47" s="4" t="inlineStr">
        <is>
          <t>Marketing</t>
        </is>
      </c>
      <c r="E47" s="8" t="n">
        <v>73015</v>
      </c>
      <c r="F47" s="8" t="n">
        <v>29206</v>
      </c>
      <c r="G47" s="8" t="n">
        <v>8286</v>
      </c>
      <c r="H47" s="8" t="n">
        <v>4545</v>
      </c>
      <c r="I47" s="8" t="n">
        <v>0</v>
      </c>
      <c r="J47" s="4" t="inlineStr">
        <is>
          <t>475256380883</t>
        </is>
      </c>
      <c r="K47" s="4" t="inlineStr">
        <is>
          <t>EVMVY5271B</t>
        </is>
      </c>
      <c r="L47" s="4" t="inlineStr">
        <is>
          <t>293660447165</t>
        </is>
      </c>
      <c r="M47" s="4" t="n">
        <v>27</v>
      </c>
      <c r="N47" s="4" t="n">
        <v>1</v>
      </c>
      <c r="O47" s="4">
        <f>IFERROR(INDEX('01_Customer_Tracker'!$B:$B,MATCH(B47,'01_Customer_Tracker'!$A:$A,0)),"")</f>
        <v/>
      </c>
    </row>
    <row r="48">
      <c r="A48" s="4" t="inlineStr">
        <is>
          <t>E047</t>
        </is>
      </c>
      <c r="B48" s="4" t="inlineStr">
        <is>
          <t>C039</t>
        </is>
      </c>
      <c r="C48" s="4" t="inlineStr">
        <is>
          <t>Saanvi Desai</t>
        </is>
      </c>
      <c r="D48" s="4" t="inlineStr">
        <is>
          <t>Engineering</t>
        </is>
      </c>
      <c r="E48" s="8" t="n">
        <v>31056</v>
      </c>
      <c r="F48" s="8" t="n">
        <v>12422</v>
      </c>
      <c r="G48" s="8" t="n">
        <v>10869</v>
      </c>
      <c r="H48" s="8" t="n">
        <v>246</v>
      </c>
      <c r="I48" s="8" t="n">
        <v>627</v>
      </c>
      <c r="J48" s="4" t="inlineStr">
        <is>
          <t>184376916181</t>
        </is>
      </c>
      <c r="K48" s="4" t="inlineStr">
        <is>
          <t>KCDQW2622I</t>
        </is>
      </c>
      <c r="L48" s="4" t="inlineStr">
        <is>
          <t>424682817866</t>
        </is>
      </c>
      <c r="M48" s="4" t="n">
        <v>25</v>
      </c>
      <c r="N48" s="4" t="n">
        <v>0</v>
      </c>
      <c r="O48" s="4">
        <f>IFERROR(INDEX('01_Customer_Tracker'!$B:$B,MATCH(B48,'01_Customer_Tracker'!$A:$A,0)),"")</f>
        <v/>
      </c>
    </row>
    <row r="49">
      <c r="A49" s="4" t="inlineStr">
        <is>
          <t>E048</t>
        </is>
      </c>
      <c r="B49" s="4" t="inlineStr">
        <is>
          <t>C033</t>
        </is>
      </c>
      <c r="C49" s="4" t="inlineStr">
        <is>
          <t>Aditya Patel</t>
        </is>
      </c>
      <c r="D49" s="4" t="inlineStr">
        <is>
          <t>Sales</t>
        </is>
      </c>
      <c r="E49" s="8" t="n">
        <v>84700</v>
      </c>
      <c r="F49" s="8" t="n">
        <v>33880</v>
      </c>
      <c r="G49" s="8" t="n">
        <v>7910</v>
      </c>
      <c r="H49" s="8" t="n">
        <v>2837</v>
      </c>
      <c r="I49" s="8" t="n">
        <v>0</v>
      </c>
      <c r="J49" s="4" t="inlineStr">
        <is>
          <t>930369954709</t>
        </is>
      </c>
      <c r="K49" s="4" t="inlineStr">
        <is>
          <t>FSCTC1457C</t>
        </is>
      </c>
      <c r="L49" s="4" t="inlineStr">
        <is>
          <t>657612330678</t>
        </is>
      </c>
      <c r="M49" s="4" t="n">
        <v>26</v>
      </c>
      <c r="N49" s="4" t="n">
        <v>0</v>
      </c>
      <c r="O49" s="4">
        <f>IFERROR(INDEX('01_Customer_Tracker'!$B:$B,MATCH(B49,'01_Customer_Tracker'!$A:$A,0)),"")</f>
        <v/>
      </c>
    </row>
    <row r="50">
      <c r="A50" s="4" t="inlineStr">
        <is>
          <t>E049</t>
        </is>
      </c>
      <c r="B50" s="4" t="inlineStr">
        <is>
          <t>C030</t>
        </is>
      </c>
      <c r="C50" s="4" t="inlineStr">
        <is>
          <t>Arjun Chauhan</t>
        </is>
      </c>
      <c r="D50" s="4" t="inlineStr">
        <is>
          <t>Support</t>
        </is>
      </c>
      <c r="E50" s="8" t="n">
        <v>22756</v>
      </c>
      <c r="F50" s="8" t="n">
        <v>9102</v>
      </c>
      <c r="G50" s="8" t="n">
        <v>10107</v>
      </c>
      <c r="H50" s="8" t="n">
        <v>1259</v>
      </c>
      <c r="I50" s="8" t="n">
        <v>0</v>
      </c>
      <c r="J50" s="4" t="inlineStr">
        <is>
          <t>53733351914</t>
        </is>
      </c>
      <c r="K50" s="4" t="inlineStr">
        <is>
          <t>NFKBI5215Y</t>
        </is>
      </c>
      <c r="L50" s="4" t="inlineStr">
        <is>
          <t>619174862647</t>
        </is>
      </c>
      <c r="M50" s="4" t="n">
        <v>30</v>
      </c>
      <c r="N50" s="4" t="n">
        <v>2</v>
      </c>
      <c r="O50" s="4">
        <f>IFERROR(INDEX('01_Customer_Tracker'!$B:$B,MATCH(B50,'01_Customer_Tracker'!$A:$A,0)),"")</f>
        <v/>
      </c>
    </row>
    <row r="51">
      <c r="A51" s="4" t="inlineStr">
        <is>
          <t>E050</t>
        </is>
      </c>
      <c r="B51" s="4" t="inlineStr">
        <is>
          <t>C005</t>
        </is>
      </c>
      <c r="C51" s="4" t="inlineStr">
        <is>
          <t>Meera Chauhan</t>
        </is>
      </c>
      <c r="D51" s="4" t="inlineStr">
        <is>
          <t>Operations</t>
        </is>
      </c>
      <c r="E51" s="8" t="n">
        <v>52397</v>
      </c>
      <c r="F51" s="8" t="n">
        <v>20959</v>
      </c>
      <c r="G51" s="8" t="n">
        <v>7073</v>
      </c>
      <c r="H51" s="8" t="n">
        <v>2068</v>
      </c>
      <c r="I51" s="8" t="n">
        <v>0</v>
      </c>
      <c r="J51" s="4" t="inlineStr">
        <is>
          <t>386925037604</t>
        </is>
      </c>
      <c r="K51" s="4" t="inlineStr">
        <is>
          <t>UKUPM2152R</t>
        </is>
      </c>
      <c r="L51" s="4" t="inlineStr">
        <is>
          <t>273887490200</t>
        </is>
      </c>
      <c r="M51" s="4" t="n">
        <v>26</v>
      </c>
      <c r="N51" s="4" t="n">
        <v>2</v>
      </c>
      <c r="O51" s="4">
        <f>IFERROR(INDEX('01_Customer_Tracker'!$B:$B,MATCH(B51,'01_Customer_Tracker'!$A:$A,0)),"")</f>
        <v/>
      </c>
    </row>
    <row r="52">
      <c r="A52" s="4" t="inlineStr">
        <is>
          <t>E051</t>
        </is>
      </c>
      <c r="B52" s="4" t="inlineStr">
        <is>
          <t>C002</t>
        </is>
      </c>
      <c r="C52" s="4" t="inlineStr">
        <is>
          <t>Nikhil Sharma</t>
        </is>
      </c>
      <c r="D52" s="4" t="inlineStr">
        <is>
          <t>HR</t>
        </is>
      </c>
      <c r="E52" s="8" t="n">
        <v>58305</v>
      </c>
      <c r="F52" s="8" t="n">
        <v>23322</v>
      </c>
      <c r="G52" s="8" t="n">
        <v>5266</v>
      </c>
      <c r="H52" s="8" t="n">
        <v>3109</v>
      </c>
      <c r="I52" s="8" t="n">
        <v>0</v>
      </c>
      <c r="J52" s="4" t="inlineStr">
        <is>
          <t>636817690322</t>
        </is>
      </c>
      <c r="K52" s="4" t="inlineStr">
        <is>
          <t>KJYUY7573K</t>
        </is>
      </c>
      <c r="L52" s="4" t="inlineStr">
        <is>
          <t>396336213637</t>
        </is>
      </c>
      <c r="M52" s="4" t="n">
        <v>25</v>
      </c>
      <c r="N52" s="4" t="n">
        <v>0</v>
      </c>
      <c r="O52" s="4">
        <f>IFERROR(INDEX('01_Customer_Tracker'!$B:$B,MATCH(B52,'01_Customer_Tracker'!$A:$A,0)),"")</f>
        <v/>
      </c>
    </row>
    <row r="53">
      <c r="A53" s="4" t="inlineStr">
        <is>
          <t>E052</t>
        </is>
      </c>
      <c r="B53" s="4" t="inlineStr">
        <is>
          <t>C017</t>
        </is>
      </c>
      <c r="C53" s="4" t="inlineStr">
        <is>
          <t>Navya Singh</t>
        </is>
      </c>
      <c r="D53" s="4" t="inlineStr">
        <is>
          <t>Finance</t>
        </is>
      </c>
      <c r="E53" s="8" t="n">
        <v>36841</v>
      </c>
      <c r="F53" s="8" t="n">
        <v>14736</v>
      </c>
      <c r="G53" s="8" t="n">
        <v>8416</v>
      </c>
      <c r="H53" s="8" t="n">
        <v>1032</v>
      </c>
      <c r="I53" s="8" t="n">
        <v>3326</v>
      </c>
      <c r="J53" s="4" t="inlineStr">
        <is>
          <t>352273497704</t>
        </is>
      </c>
      <c r="K53" s="4" t="inlineStr">
        <is>
          <t>BJNCH2494N</t>
        </is>
      </c>
      <c r="L53" s="4" t="inlineStr">
        <is>
          <t>450187040369</t>
        </is>
      </c>
      <c r="M53" s="4" t="n">
        <v>29</v>
      </c>
      <c r="N53" s="4" t="n">
        <v>2</v>
      </c>
      <c r="O53" s="4">
        <f>IFERROR(INDEX('01_Customer_Tracker'!$B:$B,MATCH(B53,'01_Customer_Tracker'!$A:$A,0)),"")</f>
        <v/>
      </c>
    </row>
    <row r="54">
      <c r="A54" s="4" t="inlineStr">
        <is>
          <t>E053</t>
        </is>
      </c>
      <c r="B54" s="4" t="inlineStr">
        <is>
          <t>C015</t>
        </is>
      </c>
      <c r="C54" s="4" t="inlineStr">
        <is>
          <t>Yash Menon</t>
        </is>
      </c>
      <c r="D54" s="4" t="inlineStr">
        <is>
          <t>Support</t>
        </is>
      </c>
      <c r="E54" s="8" t="n">
        <v>54932</v>
      </c>
      <c r="F54" s="8" t="n">
        <v>21973</v>
      </c>
      <c r="G54" s="8" t="n">
        <v>4202</v>
      </c>
      <c r="H54" s="8" t="n">
        <v>2312</v>
      </c>
      <c r="I54" s="8" t="n">
        <v>0</v>
      </c>
      <c r="J54" s="4" t="inlineStr">
        <is>
          <t>601420583782</t>
        </is>
      </c>
      <c r="K54" s="4" t="inlineStr">
        <is>
          <t>VCRZB6908Y</t>
        </is>
      </c>
      <c r="L54" s="4" t="inlineStr">
        <is>
          <t>453236260838</t>
        </is>
      </c>
      <c r="M54" s="4" t="n">
        <v>24</v>
      </c>
      <c r="N54" s="4" t="n">
        <v>0</v>
      </c>
      <c r="O54" s="4">
        <f>IFERROR(INDEX('01_Customer_Tracker'!$B:$B,MATCH(B54,'01_Customer_Tracker'!$A:$A,0)),"")</f>
        <v/>
      </c>
    </row>
    <row r="55">
      <c r="A55" s="4" t="inlineStr">
        <is>
          <t>E054</t>
        </is>
      </c>
      <c r="B55" s="4" t="inlineStr">
        <is>
          <t>C031</t>
        </is>
      </c>
      <c r="C55" s="4" t="inlineStr">
        <is>
          <t>Varun Chauhan</t>
        </is>
      </c>
      <c r="D55" s="4" t="inlineStr">
        <is>
          <t>Engineering</t>
        </is>
      </c>
      <c r="E55" s="8" t="n">
        <v>61245</v>
      </c>
      <c r="F55" s="8" t="n">
        <v>24498</v>
      </c>
      <c r="G55" s="8" t="n">
        <v>1904</v>
      </c>
      <c r="H55" s="8" t="n">
        <v>4583</v>
      </c>
      <c r="I55" s="8" t="n">
        <v>0</v>
      </c>
      <c r="J55" s="4" t="inlineStr">
        <is>
          <t>36267112833</t>
        </is>
      </c>
      <c r="K55" s="4" t="inlineStr">
        <is>
          <t>RITDW3155M</t>
        </is>
      </c>
      <c r="L55" s="4" t="inlineStr">
        <is>
          <t>519181696321</t>
        </is>
      </c>
      <c r="M55" s="4" t="n">
        <v>0</v>
      </c>
      <c r="N55" s="4" t="n">
        <v>0</v>
      </c>
      <c r="O55" s="4">
        <f>IFERROR(INDEX('01_Customer_Tracker'!$B:$B,MATCH(B55,'01_Customer_Tracker'!$A:$A,0)),"")</f>
        <v/>
      </c>
    </row>
    <row r="56">
      <c r="A56" s="4" t="inlineStr">
        <is>
          <t>E055</t>
        </is>
      </c>
      <c r="B56" s="4" t="inlineStr">
        <is>
          <t>C005</t>
        </is>
      </c>
      <c r="C56" s="4" t="inlineStr">
        <is>
          <t>Aarav Kulkarni</t>
        </is>
      </c>
      <c r="D56" s="4" t="inlineStr">
        <is>
          <t>Operations</t>
        </is>
      </c>
      <c r="E56" s="8" t="n">
        <v>81043</v>
      </c>
      <c r="F56" s="8" t="n">
        <v>32417</v>
      </c>
      <c r="G56" s="8" t="n">
        <v>10727</v>
      </c>
      <c r="H56" s="8" t="n">
        <v>6407</v>
      </c>
      <c r="I56" s="8" t="n">
        <v>0</v>
      </c>
      <c r="J56" s="4" t="inlineStr">
        <is>
          <t>277638370317</t>
        </is>
      </c>
      <c r="K56" s="4" t="inlineStr">
        <is>
          <t>JRELU2347M</t>
        </is>
      </c>
      <c r="L56" s="4" t="inlineStr">
        <is>
          <t>582839131376</t>
        </is>
      </c>
      <c r="M56" s="4" t="n">
        <v>25</v>
      </c>
      <c r="N56" s="4" t="n">
        <v>0</v>
      </c>
      <c r="O56" s="4">
        <f>IFERROR(INDEX('01_Customer_Tracker'!$B:$B,MATCH(B56,'01_Customer_Tracker'!$A:$A,0)),"")</f>
        <v/>
      </c>
    </row>
    <row r="57">
      <c r="A57" s="4" t="inlineStr">
        <is>
          <t>E056</t>
        </is>
      </c>
      <c r="B57" s="4" t="inlineStr">
        <is>
          <t>C031</t>
        </is>
      </c>
      <c r="C57" s="4" t="inlineStr">
        <is>
          <t>Rahul Menon</t>
        </is>
      </c>
      <c r="D57" s="4" t="inlineStr">
        <is>
          <t>Support</t>
        </is>
      </c>
      <c r="E57" s="8" t="n">
        <v>78863</v>
      </c>
      <c r="F57" s="8" t="n">
        <v>31545</v>
      </c>
      <c r="G57" s="8" t="n">
        <v>3469</v>
      </c>
      <c r="H57" s="8" t="n">
        <v>5874</v>
      </c>
      <c r="I57" s="8" t="n">
        <v>0</v>
      </c>
      <c r="J57" s="4" t="inlineStr">
        <is>
          <t>380719297084</t>
        </is>
      </c>
      <c r="K57" s="4" t="inlineStr">
        <is>
          <t>PDCKV5547M</t>
        </is>
      </c>
      <c r="L57" s="4" t="inlineStr">
        <is>
          <t>607953412322</t>
        </is>
      </c>
      <c r="M57" s="4" t="n">
        <v>28</v>
      </c>
      <c r="N57" s="4" t="n">
        <v>0</v>
      </c>
      <c r="O57" s="4">
        <f>IFERROR(INDEX('01_Customer_Tracker'!$B:$B,MATCH(B57,'01_Customer_Tracker'!$A:$A,0)),"")</f>
        <v/>
      </c>
    </row>
    <row r="58">
      <c r="A58" s="4" t="inlineStr">
        <is>
          <t>E057</t>
        </is>
      </c>
      <c r="B58" s="4" t="inlineStr">
        <is>
          <t>C025</t>
        </is>
      </c>
      <c r="C58" s="4" t="inlineStr">
        <is>
          <t>Amit Kulkarni</t>
        </is>
      </c>
      <c r="D58" s="4" t="inlineStr">
        <is>
          <t>Operations</t>
        </is>
      </c>
      <c r="E58" s="8" t="n">
        <v>85121</v>
      </c>
      <c r="F58" s="8" t="n">
        <v>34048</v>
      </c>
      <c r="G58" s="8" t="n">
        <v>5384</v>
      </c>
      <c r="H58" s="8" t="n">
        <v>870</v>
      </c>
      <c r="I58" s="8" t="n">
        <v>2505</v>
      </c>
      <c r="J58" s="4" t="inlineStr">
        <is>
          <t>796803052832</t>
        </is>
      </c>
      <c r="K58" s="4" t="inlineStr">
        <is>
          <t>FVBHS3733S</t>
        </is>
      </c>
      <c r="L58" s="4" t="inlineStr">
        <is>
          <t>121573319975</t>
        </is>
      </c>
      <c r="M58" s="4" t="n">
        <v>30</v>
      </c>
      <c r="N58" s="4" t="n">
        <v>0</v>
      </c>
      <c r="O58" s="4">
        <f>IFERROR(INDEX('01_Customer_Tracker'!$B:$B,MATCH(B58,'01_Customer_Tracker'!$A:$A,0)),"")</f>
        <v/>
      </c>
    </row>
    <row r="59">
      <c r="A59" s="4" t="inlineStr">
        <is>
          <t>E058</t>
        </is>
      </c>
      <c r="B59" s="4" t="inlineStr">
        <is>
          <t>C014</t>
        </is>
      </c>
      <c r="C59" s="4" t="inlineStr">
        <is>
          <t>Kabir Kapoor</t>
        </is>
      </c>
      <c r="D59" s="4" t="inlineStr">
        <is>
          <t>Finance</t>
        </is>
      </c>
      <c r="E59" s="8" t="n">
        <v>66759</v>
      </c>
      <c r="F59" s="8" t="n">
        <v>26704</v>
      </c>
      <c r="G59" s="8" t="n">
        <v>7587</v>
      </c>
      <c r="H59" s="8" t="n">
        <v>872</v>
      </c>
      <c r="I59" s="8" t="n">
        <v>0</v>
      </c>
      <c r="J59" s="4" t="inlineStr">
        <is>
          <t>382966667795</t>
        </is>
      </c>
      <c r="K59" s="4" t="inlineStr">
        <is>
          <t>UQDBP5155Y</t>
        </is>
      </c>
      <c r="L59" s="4" t="inlineStr">
        <is>
          <t>292893762569</t>
        </is>
      </c>
      <c r="M59" s="4" t="n">
        <v>27</v>
      </c>
      <c r="N59" s="4" t="n">
        <v>1</v>
      </c>
      <c r="O59" s="4">
        <f>IFERROR(INDEX('01_Customer_Tracker'!$B:$B,MATCH(B59,'01_Customer_Tracker'!$A:$A,0)),"")</f>
        <v/>
      </c>
    </row>
    <row r="60">
      <c r="A60" s="4" t="inlineStr">
        <is>
          <t>E059</t>
        </is>
      </c>
      <c r="B60" s="4" t="inlineStr">
        <is>
          <t>C006</t>
        </is>
      </c>
      <c r="C60" s="4" t="inlineStr">
        <is>
          <t>Krishna Kapoor</t>
        </is>
      </c>
      <c r="D60" s="4" t="inlineStr">
        <is>
          <t>Operations</t>
        </is>
      </c>
      <c r="E60" s="8" t="n">
        <v>28929</v>
      </c>
      <c r="F60" s="8" t="n">
        <v>11572</v>
      </c>
      <c r="G60" s="8" t="n">
        <v>2516</v>
      </c>
      <c r="H60" s="8" t="n">
        <v>1184</v>
      </c>
      <c r="I60" s="8" t="n">
        <v>0</v>
      </c>
      <c r="J60" s="4" t="inlineStr">
        <is>
          <t>810879906480</t>
        </is>
      </c>
      <c r="K60" s="4" t="inlineStr">
        <is>
          <t>YKZGC6242Q</t>
        </is>
      </c>
      <c r="L60" s="4" t="inlineStr">
        <is>
          <t>884268178066</t>
        </is>
      </c>
      <c r="M60" s="4" t="n">
        <v>30</v>
      </c>
      <c r="N60" s="4" t="n">
        <v>0</v>
      </c>
      <c r="O60" s="4">
        <f>IFERROR(INDEX('01_Customer_Tracker'!$B:$B,MATCH(B60,'01_Customer_Tracker'!$A:$A,0)),"")</f>
        <v/>
      </c>
    </row>
    <row r="61">
      <c r="A61" s="4" t="inlineStr">
        <is>
          <t>E060</t>
        </is>
      </c>
      <c r="B61" s="4" t="inlineStr">
        <is>
          <t>C030</t>
        </is>
      </c>
      <c r="C61" s="4" t="inlineStr">
        <is>
          <t>Om Gupta</t>
        </is>
      </c>
      <c r="D61" s="4" t="inlineStr">
        <is>
          <t>Finance</t>
        </is>
      </c>
      <c r="E61" s="8" t="n">
        <v>42332</v>
      </c>
      <c r="F61" s="8" t="n">
        <v>16933</v>
      </c>
      <c r="G61" s="8" t="n">
        <v>1876</v>
      </c>
      <c r="H61" s="8" t="n">
        <v>692</v>
      </c>
      <c r="I61" s="8" t="n">
        <v>0</v>
      </c>
      <c r="J61" s="4" t="inlineStr">
        <is>
          <t>959120450711</t>
        </is>
      </c>
      <c r="K61" s="4" t="inlineStr">
        <is>
          <t>NRBFS5905H</t>
        </is>
      </c>
      <c r="L61" s="4" t="inlineStr">
        <is>
          <t>912690238064</t>
        </is>
      </c>
      <c r="M61" s="4" t="n">
        <v>0</v>
      </c>
      <c r="N61" s="4" t="n">
        <v>0</v>
      </c>
      <c r="O61" s="4">
        <f>IFERROR(INDEX('01_Customer_Tracker'!$B:$B,MATCH(B61,'01_Customer_Tracker'!$A:$A,0)),"")</f>
        <v/>
      </c>
    </row>
    <row r="62">
      <c r="A62" s="4" t="inlineStr">
        <is>
          <t>E061</t>
        </is>
      </c>
      <c r="B62" s="4" t="inlineStr">
        <is>
          <t>C022</t>
        </is>
      </c>
      <c r="C62" s="4" t="inlineStr">
        <is>
          <t>Vivaan Menon</t>
        </is>
      </c>
      <c r="D62" s="4" t="inlineStr">
        <is>
          <t>Support</t>
        </is>
      </c>
      <c r="E62" s="8" t="n">
        <v>83370</v>
      </c>
      <c r="F62" s="8" t="n">
        <v>33348</v>
      </c>
      <c r="G62" s="8" t="n">
        <v>2733</v>
      </c>
      <c r="H62" s="8" t="n">
        <v>1885</v>
      </c>
      <c r="I62" s="8" t="n">
        <v>0</v>
      </c>
      <c r="J62" s="4" t="inlineStr">
        <is>
          <t>164200094264</t>
        </is>
      </c>
      <c r="K62" s="4" t="inlineStr">
        <is>
          <t>BSNBX8840O</t>
        </is>
      </c>
      <c r="L62" s="4" t="inlineStr">
        <is>
          <t>457509971325</t>
        </is>
      </c>
      <c r="M62" s="4" t="n">
        <v>29</v>
      </c>
      <c r="N62" s="4" t="n">
        <v>1</v>
      </c>
      <c r="O62" s="4">
        <f>IFERROR(INDEX('01_Customer_Tracker'!$B:$B,MATCH(B62,'01_Customer_Tracker'!$A:$A,0)),"")</f>
        <v/>
      </c>
    </row>
    <row r="63">
      <c r="A63" s="4" t="inlineStr">
        <is>
          <t>E062</t>
        </is>
      </c>
      <c r="B63" s="4" t="inlineStr">
        <is>
          <t>C041</t>
        </is>
      </c>
      <c r="C63" s="4" t="inlineStr">
        <is>
          <t>Reyansh Chauhan</t>
        </is>
      </c>
      <c r="D63" s="4" t="inlineStr">
        <is>
          <t>Operations</t>
        </is>
      </c>
      <c r="E63" s="8" t="n">
        <v>38299</v>
      </c>
      <c r="F63" s="8" t="n">
        <v>15320</v>
      </c>
      <c r="G63" s="8" t="n">
        <v>9808</v>
      </c>
      <c r="H63" s="8" t="n">
        <v>580</v>
      </c>
      <c r="I63" s="8" t="n">
        <v>1187</v>
      </c>
      <c r="J63" s="4" t="inlineStr">
        <is>
          <t>103343192953</t>
        </is>
      </c>
      <c r="K63" s="4" t="inlineStr">
        <is>
          <t>ZRWDS5866V</t>
        </is>
      </c>
      <c r="L63" s="4" t="inlineStr">
        <is>
          <t>978307786330</t>
        </is>
      </c>
      <c r="M63" s="4" t="n">
        <v>28</v>
      </c>
      <c r="N63" s="4" t="n">
        <v>0</v>
      </c>
      <c r="O63" s="4">
        <f>IFERROR(INDEX('01_Customer_Tracker'!$B:$B,MATCH(B63,'01_Customer_Tracker'!$A:$A,0)),"")</f>
        <v/>
      </c>
    </row>
    <row r="64">
      <c r="A64" s="4" t="inlineStr">
        <is>
          <t>E063</t>
        </is>
      </c>
      <c r="B64" s="4" t="inlineStr">
        <is>
          <t>C035</t>
        </is>
      </c>
      <c r="C64" s="4" t="inlineStr">
        <is>
          <t>Tanvi Bhatia</t>
        </is>
      </c>
      <c r="D64" s="4" t="inlineStr">
        <is>
          <t>Engineering</t>
        </is>
      </c>
      <c r="E64" s="8" t="n">
        <v>84217</v>
      </c>
      <c r="F64" s="8" t="n">
        <v>33687</v>
      </c>
      <c r="G64" s="8" t="n">
        <v>9855</v>
      </c>
      <c r="H64" s="8" t="n">
        <v>2022</v>
      </c>
      <c r="I64" s="8" t="n">
        <v>0</v>
      </c>
      <c r="J64" s="4" t="inlineStr">
        <is>
          <t>899932360556</t>
        </is>
      </c>
      <c r="K64" s="4" t="inlineStr">
        <is>
          <t>OFZLS7877M</t>
        </is>
      </c>
      <c r="L64" s="4" t="inlineStr">
        <is>
          <t>510763472111</t>
        </is>
      </c>
      <c r="M64" s="4" t="n">
        <v>30</v>
      </c>
      <c r="N64" s="4" t="n">
        <v>0</v>
      </c>
      <c r="O64" s="4">
        <f>IFERROR(INDEX('01_Customer_Tracker'!$B:$B,MATCH(B64,'01_Customer_Tracker'!$A:$A,0)),"")</f>
        <v/>
      </c>
    </row>
    <row r="65">
      <c r="A65" s="4" t="inlineStr">
        <is>
          <t>E064</t>
        </is>
      </c>
      <c r="B65" s="4" t="inlineStr">
        <is>
          <t>C014</t>
        </is>
      </c>
      <c r="C65" s="4" t="inlineStr">
        <is>
          <t>Myra Reddy</t>
        </is>
      </c>
      <c r="D65" s="4" t="inlineStr">
        <is>
          <t>Operations</t>
        </is>
      </c>
      <c r="E65" s="8" t="n">
        <v>23555</v>
      </c>
      <c r="F65" s="8" t="n">
        <v>9422</v>
      </c>
      <c r="G65" s="8" t="n">
        <v>2442</v>
      </c>
      <c r="H65" s="8" t="n">
        <v>1363</v>
      </c>
      <c r="I65" s="8" t="n">
        <v>0</v>
      </c>
      <c r="J65" s="4" t="inlineStr">
        <is>
          <t>451612163990</t>
        </is>
      </c>
      <c r="K65" s="4" t="inlineStr">
        <is>
          <t>CFYVP1780A</t>
        </is>
      </c>
      <c r="L65" s="4" t="inlineStr">
        <is>
          <t>241771007185</t>
        </is>
      </c>
      <c r="M65" s="4" t="n">
        <v>30</v>
      </c>
      <c r="N65" s="4" t="n">
        <v>0</v>
      </c>
      <c r="O65" s="4">
        <f>IFERROR(INDEX('01_Customer_Tracker'!$B:$B,MATCH(B65,'01_Customer_Tracker'!$A:$A,0)),"")</f>
        <v/>
      </c>
    </row>
    <row r="66">
      <c r="A66" s="4" t="inlineStr">
        <is>
          <t>E065</t>
        </is>
      </c>
      <c r="B66" s="4" t="inlineStr">
        <is>
          <t>C012</t>
        </is>
      </c>
      <c r="C66" s="4" t="inlineStr">
        <is>
          <t>Ishaan Pillai</t>
        </is>
      </c>
      <c r="D66" s="4" t="inlineStr">
        <is>
          <t>Sales</t>
        </is>
      </c>
      <c r="E66" s="8" t="n">
        <v>43765</v>
      </c>
      <c r="F66" s="8" t="n">
        <v>17506</v>
      </c>
      <c r="G66" s="8" t="n">
        <v>6915</v>
      </c>
      <c r="H66" s="8" t="n">
        <v>2325</v>
      </c>
      <c r="I66" s="8" t="n">
        <v>0</v>
      </c>
      <c r="J66" s="4" t="inlineStr">
        <is>
          <t>243996831029</t>
        </is>
      </c>
      <c r="K66" s="4" t="inlineStr">
        <is>
          <t>YOBJD9395B</t>
        </is>
      </c>
      <c r="L66" s="4" t="inlineStr">
        <is>
          <t>275611816982</t>
        </is>
      </c>
      <c r="M66" s="4" t="n">
        <v>25</v>
      </c>
      <c r="N66" s="4" t="n">
        <v>0</v>
      </c>
      <c r="O66" s="4">
        <f>IFERROR(INDEX('01_Customer_Tracker'!$B:$B,MATCH(B66,'01_Customer_Tracker'!$A:$A,0)),"")</f>
        <v/>
      </c>
    </row>
    <row r="67">
      <c r="A67" s="4" t="inlineStr">
        <is>
          <t>E066</t>
        </is>
      </c>
      <c r="B67" s="4" t="inlineStr">
        <is>
          <t>C021</t>
        </is>
      </c>
      <c r="C67" s="4" t="inlineStr">
        <is>
          <t>Yash Nair</t>
        </is>
      </c>
      <c r="D67" s="4" t="inlineStr">
        <is>
          <t>Finance</t>
        </is>
      </c>
      <c r="E67" s="8" t="n">
        <v>64506</v>
      </c>
      <c r="F67" s="8" t="n">
        <v>25802</v>
      </c>
      <c r="G67" s="8" t="n">
        <v>8072</v>
      </c>
      <c r="H67" s="8" t="n">
        <v>4109</v>
      </c>
      <c r="I67" s="8" t="n">
        <v>0</v>
      </c>
      <c r="J67" s="4" t="inlineStr">
        <is>
          <t>621611019419</t>
        </is>
      </c>
      <c r="K67" s="4" t="inlineStr">
        <is>
          <t>FQWQY2148J</t>
        </is>
      </c>
      <c r="L67" s="4" t="inlineStr">
        <is>
          <t>181521152681</t>
        </is>
      </c>
      <c r="M67" s="4" t="n">
        <v>27</v>
      </c>
      <c r="N67" s="4" t="n">
        <v>0</v>
      </c>
      <c r="O67" s="4">
        <f>IFERROR(INDEX('01_Customer_Tracker'!$B:$B,MATCH(B67,'01_Customer_Tracker'!$A:$A,0)),"")</f>
        <v/>
      </c>
    </row>
    <row r="68">
      <c r="A68" s="4" t="inlineStr">
        <is>
          <t>E067</t>
        </is>
      </c>
      <c r="B68" s="4" t="inlineStr">
        <is>
          <t>C008</t>
        </is>
      </c>
      <c r="C68" s="4" t="inlineStr">
        <is>
          <t>Rohan Bhatia</t>
        </is>
      </c>
      <c r="D68" s="4" t="inlineStr">
        <is>
          <t>Marketing</t>
        </is>
      </c>
      <c r="E68" s="8" t="n">
        <v>78704</v>
      </c>
      <c r="F68" s="8" t="n">
        <v>31482</v>
      </c>
      <c r="G68" s="8" t="n">
        <v>5472</v>
      </c>
      <c r="H68" s="8" t="n">
        <v>2049</v>
      </c>
      <c r="I68" s="8" t="n">
        <v>0</v>
      </c>
      <c r="J68" s="4" t="inlineStr">
        <is>
          <t>190980682726</t>
        </is>
      </c>
      <c r="K68" s="4" t="inlineStr">
        <is>
          <t>UQIEQ2567R</t>
        </is>
      </c>
      <c r="L68" s="4" t="inlineStr">
        <is>
          <t>491283772127</t>
        </is>
      </c>
      <c r="M68" s="4" t="n">
        <v>29</v>
      </c>
      <c r="N68" s="4" t="n">
        <v>0</v>
      </c>
      <c r="O68" s="4">
        <f>IFERROR(INDEX('01_Customer_Tracker'!$B:$B,MATCH(B68,'01_Customer_Tracker'!$A:$A,0)),"")</f>
        <v/>
      </c>
    </row>
    <row r="69">
      <c r="A69" s="4" t="inlineStr">
        <is>
          <t>E068</t>
        </is>
      </c>
      <c r="B69" s="4" t="inlineStr">
        <is>
          <t>C006</t>
        </is>
      </c>
      <c r="C69" s="4" t="inlineStr">
        <is>
          <t>Rohan Kulkarni</t>
        </is>
      </c>
      <c r="D69" s="4" t="inlineStr">
        <is>
          <t>Sales</t>
        </is>
      </c>
      <c r="E69" s="8" t="n">
        <v>68633</v>
      </c>
      <c r="F69" s="8" t="n">
        <v>27453</v>
      </c>
      <c r="G69" s="8" t="n">
        <v>11335</v>
      </c>
      <c r="H69" s="8" t="n">
        <v>4188</v>
      </c>
      <c r="I69" s="8" t="n">
        <v>1127</v>
      </c>
      <c r="J69" s="4" t="inlineStr">
        <is>
          <t>502671225341</t>
        </is>
      </c>
      <c r="K69" s="4" t="inlineStr">
        <is>
          <t>NNANY4929H</t>
        </is>
      </c>
      <c r="L69" s="4" t="inlineStr">
        <is>
          <t>537652551403</t>
        </is>
      </c>
      <c r="M69" s="4" t="n">
        <v>30</v>
      </c>
      <c r="N69" s="4" t="n">
        <v>0</v>
      </c>
      <c r="O69" s="4">
        <f>IFERROR(INDEX('01_Customer_Tracker'!$B:$B,MATCH(B69,'01_Customer_Tracker'!$A:$A,0)),"")</f>
        <v/>
      </c>
    </row>
    <row r="70">
      <c r="A70" s="4" t="inlineStr">
        <is>
          <t>E069</t>
        </is>
      </c>
      <c r="B70" s="4" t="inlineStr">
        <is>
          <t>C048</t>
        </is>
      </c>
      <c r="C70" s="4" t="inlineStr">
        <is>
          <t>Varun Mehta</t>
        </is>
      </c>
      <c r="D70" s="4" t="inlineStr">
        <is>
          <t>Marketing</t>
        </is>
      </c>
      <c r="E70" s="8" t="n">
        <v>20011</v>
      </c>
      <c r="F70" s="8" t="n">
        <v>8004</v>
      </c>
      <c r="G70" s="8" t="n">
        <v>9206</v>
      </c>
      <c r="H70" s="8" t="n">
        <v>948</v>
      </c>
      <c r="I70" s="8" t="n">
        <v>4318</v>
      </c>
      <c r="J70" s="4" t="inlineStr"/>
      <c r="K70" s="4" t="inlineStr">
        <is>
          <t>QPZAM5448X</t>
        </is>
      </c>
      <c r="L70" s="4" t="inlineStr">
        <is>
          <t>528005055909</t>
        </is>
      </c>
      <c r="M70" s="4" t="n">
        <v>29</v>
      </c>
      <c r="N70" s="4" t="n">
        <v>0</v>
      </c>
      <c r="O70" s="4">
        <f>IFERROR(INDEX('01_Customer_Tracker'!$B:$B,MATCH(B70,'01_Customer_Tracker'!$A:$A,0)),"")</f>
        <v/>
      </c>
    </row>
    <row r="71">
      <c r="A71" s="4" t="inlineStr">
        <is>
          <t>E070</t>
        </is>
      </c>
      <c r="B71" s="4" t="inlineStr">
        <is>
          <t>C010</t>
        </is>
      </c>
      <c r="C71" s="4" t="inlineStr">
        <is>
          <t>Aditya Rao</t>
        </is>
      </c>
      <c r="D71" s="4" t="inlineStr">
        <is>
          <t>HR</t>
        </is>
      </c>
      <c r="E71" s="8" t="n">
        <v>71070</v>
      </c>
      <c r="F71" s="8" t="n">
        <v>28428</v>
      </c>
      <c r="G71" s="8" t="n">
        <v>9708</v>
      </c>
      <c r="H71" s="8" t="n">
        <v>5135</v>
      </c>
      <c r="I71" s="8" t="n">
        <v>0</v>
      </c>
      <c r="J71" s="4" t="inlineStr">
        <is>
          <t>857666713757</t>
        </is>
      </c>
      <c r="K71" s="4" t="inlineStr">
        <is>
          <t>LUQHJ4914R</t>
        </is>
      </c>
      <c r="L71" s="4" t="inlineStr">
        <is>
          <t>704668769751</t>
        </is>
      </c>
      <c r="M71" s="4" t="n">
        <v>30</v>
      </c>
      <c r="N71" s="4" t="n">
        <v>0</v>
      </c>
      <c r="O71" s="4">
        <f>IFERROR(INDEX('01_Customer_Tracker'!$B:$B,MATCH(B71,'01_Customer_Tracker'!$A:$A,0)),"")</f>
        <v/>
      </c>
    </row>
    <row r="72">
      <c r="A72" s="4" t="inlineStr">
        <is>
          <t>E071</t>
        </is>
      </c>
      <c r="B72" s="4" t="inlineStr">
        <is>
          <t>C023</t>
        </is>
      </c>
      <c r="C72" s="4" t="inlineStr">
        <is>
          <t>Rahul Chatterjee</t>
        </is>
      </c>
      <c r="D72" s="4" t="inlineStr">
        <is>
          <t>Operations</t>
        </is>
      </c>
      <c r="E72" s="8" t="n">
        <v>62182</v>
      </c>
      <c r="F72" s="8" t="n">
        <v>24873</v>
      </c>
      <c r="G72" s="8" t="n">
        <v>10027</v>
      </c>
      <c r="H72" s="8" t="n">
        <v>40418</v>
      </c>
      <c r="I72" s="8" t="n">
        <v>0</v>
      </c>
      <c r="J72" s="4" t="inlineStr">
        <is>
          <t>465112369808</t>
        </is>
      </c>
      <c r="K72" s="4" t="inlineStr">
        <is>
          <t>NNFPT4146D</t>
        </is>
      </c>
      <c r="L72" s="4" t="inlineStr">
        <is>
          <t>278725297177</t>
        </is>
      </c>
      <c r="M72" s="4" t="n">
        <v>26</v>
      </c>
      <c r="N72" s="4" t="n">
        <v>0</v>
      </c>
      <c r="O72" s="4">
        <f>IFERROR(INDEX('01_Customer_Tracker'!$B:$B,MATCH(B72,'01_Customer_Tracker'!$A:$A,0)),"")</f>
        <v/>
      </c>
    </row>
    <row r="73">
      <c r="A73" s="4" t="inlineStr">
        <is>
          <t>E072</t>
        </is>
      </c>
      <c r="B73" s="4" t="inlineStr">
        <is>
          <t>C034</t>
        </is>
      </c>
      <c r="C73" s="4" t="inlineStr">
        <is>
          <t>Om Iyer</t>
        </is>
      </c>
      <c r="D73" s="4" t="inlineStr">
        <is>
          <t>Marketing</t>
        </is>
      </c>
      <c r="E73" s="8" t="n">
        <v>69933</v>
      </c>
      <c r="F73" s="8" t="n">
        <v>27973</v>
      </c>
      <c r="G73" s="8" t="n">
        <v>4362</v>
      </c>
      <c r="H73" s="8" t="n">
        <v>3150</v>
      </c>
      <c r="I73" s="8" t="n">
        <v>0</v>
      </c>
      <c r="J73" s="4" t="inlineStr">
        <is>
          <t>162878857141</t>
        </is>
      </c>
      <c r="K73" s="4" t="inlineStr">
        <is>
          <t>CHFKH3952N</t>
        </is>
      </c>
      <c r="L73" s="4" t="inlineStr">
        <is>
          <t>894543009429</t>
        </is>
      </c>
      <c r="M73" s="4" t="n">
        <v>29</v>
      </c>
      <c r="N73" s="4" t="n">
        <v>0</v>
      </c>
      <c r="O73" s="4">
        <f>IFERROR(INDEX('01_Customer_Tracker'!$B:$B,MATCH(B73,'01_Customer_Tracker'!$A:$A,0)),"")</f>
        <v/>
      </c>
    </row>
    <row r="74">
      <c r="A74" s="4" t="inlineStr">
        <is>
          <t>E073</t>
        </is>
      </c>
      <c r="B74" s="4" t="inlineStr">
        <is>
          <t>C041</t>
        </is>
      </c>
      <c r="C74" s="4" t="inlineStr">
        <is>
          <t>Sneha Pillai</t>
        </is>
      </c>
      <c r="D74" s="4" t="inlineStr">
        <is>
          <t>Sales</t>
        </is>
      </c>
      <c r="E74" s="8" t="n">
        <v>71345</v>
      </c>
      <c r="F74" s="8" t="n">
        <v>28538</v>
      </c>
      <c r="G74" s="8" t="n">
        <v>5255</v>
      </c>
      <c r="H74" s="8" t="n">
        <v>4494</v>
      </c>
      <c r="I74" s="8" t="n">
        <v>2870</v>
      </c>
      <c r="J74" s="4" t="inlineStr">
        <is>
          <t>280695405105</t>
        </is>
      </c>
      <c r="K74" s="4" t="inlineStr">
        <is>
          <t>GIJDS5951V</t>
        </is>
      </c>
      <c r="L74" s="4" t="inlineStr">
        <is>
          <t>162938468329</t>
        </is>
      </c>
      <c r="M74" s="4" t="n">
        <v>28</v>
      </c>
      <c r="N74" s="4" t="n">
        <v>0</v>
      </c>
      <c r="O74" s="4">
        <f>IFERROR(INDEX('01_Customer_Tracker'!$B:$B,MATCH(B74,'01_Customer_Tracker'!$A:$A,0)),"")</f>
        <v/>
      </c>
    </row>
    <row r="75">
      <c r="A75" s="4" t="inlineStr">
        <is>
          <t>E074</t>
        </is>
      </c>
      <c r="B75" s="4" t="inlineStr">
        <is>
          <t>C034</t>
        </is>
      </c>
      <c r="C75" s="4" t="inlineStr">
        <is>
          <t>Rohan Menon</t>
        </is>
      </c>
      <c r="D75" s="4" t="inlineStr">
        <is>
          <t>HR</t>
        </is>
      </c>
      <c r="E75" s="8" t="n">
        <v>71099</v>
      </c>
      <c r="F75" s="8" t="n">
        <v>28440</v>
      </c>
      <c r="G75" s="8" t="n">
        <v>2644</v>
      </c>
      <c r="H75" s="8" t="n">
        <v>4635</v>
      </c>
      <c r="I75" s="8" t="n">
        <v>0</v>
      </c>
      <c r="J75" s="4" t="inlineStr">
        <is>
          <t>822351511812</t>
        </is>
      </c>
      <c r="K75" s="4" t="inlineStr">
        <is>
          <t>HGIJE2587G</t>
        </is>
      </c>
      <c r="L75" s="4" t="inlineStr">
        <is>
          <t>452854020173</t>
        </is>
      </c>
      <c r="M75" s="4" t="n">
        <v>27</v>
      </c>
      <c r="N75" s="4" t="n">
        <v>2</v>
      </c>
      <c r="O75" s="4">
        <f>IFERROR(INDEX('01_Customer_Tracker'!$B:$B,MATCH(B75,'01_Customer_Tracker'!$A:$A,0)),"")</f>
        <v/>
      </c>
    </row>
    <row r="76">
      <c r="A76" s="4" t="inlineStr">
        <is>
          <t>E075</t>
        </is>
      </c>
      <c r="B76" s="4" t="inlineStr">
        <is>
          <t>C021</t>
        </is>
      </c>
      <c r="C76" s="4" t="inlineStr">
        <is>
          <t>Sneha Reddy</t>
        </is>
      </c>
      <c r="D76" s="4" t="inlineStr">
        <is>
          <t>Operations</t>
        </is>
      </c>
      <c r="E76" s="8" t="n">
        <v>28766</v>
      </c>
      <c r="F76" s="8" t="n">
        <v>11506</v>
      </c>
      <c r="G76" s="8" t="n">
        <v>4364</v>
      </c>
      <c r="H76" s="8" t="n">
        <v>841</v>
      </c>
      <c r="I76" s="8" t="n">
        <v>0</v>
      </c>
      <c r="J76" s="4" t="inlineStr">
        <is>
          <t>309934982548</t>
        </is>
      </c>
      <c r="K76" s="4" t="inlineStr">
        <is>
          <t>DWJXG5853T</t>
        </is>
      </c>
      <c r="L76" s="4" t="inlineStr">
        <is>
          <t>937003012618</t>
        </is>
      </c>
      <c r="M76" s="4" t="n">
        <v>26</v>
      </c>
      <c r="N76" s="4" t="n">
        <v>0</v>
      </c>
      <c r="O76" s="4">
        <f>IFERROR(INDEX('01_Customer_Tracker'!$B:$B,MATCH(B76,'01_Customer_Tracker'!$A:$A,0)),"")</f>
        <v/>
      </c>
    </row>
    <row r="77">
      <c r="A77" s="4" t="inlineStr">
        <is>
          <t>E076</t>
        </is>
      </c>
      <c r="B77" s="4" t="inlineStr">
        <is>
          <t>C042</t>
        </is>
      </c>
      <c r="C77" s="4" t="inlineStr">
        <is>
          <t>Riya Sharma</t>
        </is>
      </c>
      <c r="D77" s="4" t="inlineStr">
        <is>
          <t>Marketing</t>
        </is>
      </c>
      <c r="E77" s="8" t="n">
        <v>61770</v>
      </c>
      <c r="F77" s="8" t="n">
        <v>24708</v>
      </c>
      <c r="G77" s="8" t="n">
        <v>11987</v>
      </c>
      <c r="H77" s="8" t="n">
        <v>2329</v>
      </c>
      <c r="I77" s="8" t="n">
        <v>0</v>
      </c>
      <c r="J77" s="4" t="inlineStr">
        <is>
          <t>909522164089</t>
        </is>
      </c>
      <c r="K77" s="4" t="inlineStr">
        <is>
          <t>PNUJL7841C</t>
        </is>
      </c>
      <c r="L77" s="4" t="inlineStr">
        <is>
          <t>114224999896</t>
        </is>
      </c>
      <c r="M77" s="4" t="n">
        <v>28</v>
      </c>
      <c r="N77" s="4" t="n">
        <v>0</v>
      </c>
      <c r="O77" s="4">
        <f>IFERROR(INDEX('01_Customer_Tracker'!$B:$B,MATCH(B77,'01_Customer_Tracker'!$A:$A,0)),"")</f>
        <v/>
      </c>
    </row>
    <row r="78">
      <c r="A78" s="4" t="inlineStr">
        <is>
          <t>E077</t>
        </is>
      </c>
      <c r="B78" s="4" t="inlineStr">
        <is>
          <t>C041</t>
        </is>
      </c>
      <c r="C78" s="4" t="inlineStr">
        <is>
          <t>Riya Kapoor</t>
        </is>
      </c>
      <c r="D78" s="4" t="inlineStr">
        <is>
          <t>Operations</t>
        </is>
      </c>
      <c r="E78" s="8" t="n">
        <v>48851</v>
      </c>
      <c r="F78" s="8" t="n">
        <v>19540</v>
      </c>
      <c r="G78" s="8" t="n">
        <v>7465</v>
      </c>
      <c r="H78" s="8" t="n">
        <v>2983</v>
      </c>
      <c r="I78" s="8" t="n">
        <v>0</v>
      </c>
      <c r="J78" s="4" t="inlineStr">
        <is>
          <t>117570532229</t>
        </is>
      </c>
      <c r="K78" s="4" t="inlineStr">
        <is>
          <t>OSFFU1618W</t>
        </is>
      </c>
      <c r="L78" s="4" t="inlineStr">
        <is>
          <t>995341792257</t>
        </is>
      </c>
      <c r="M78" s="4" t="n">
        <v>28</v>
      </c>
      <c r="N78" s="4" t="n">
        <v>0</v>
      </c>
      <c r="O78" s="4">
        <f>IFERROR(INDEX('01_Customer_Tracker'!$B:$B,MATCH(B78,'01_Customer_Tracker'!$A:$A,0)),"")</f>
        <v/>
      </c>
    </row>
    <row r="79">
      <c r="A79" s="4" t="inlineStr">
        <is>
          <t>E078</t>
        </is>
      </c>
      <c r="B79" s="4" t="inlineStr">
        <is>
          <t>C034</t>
        </is>
      </c>
      <c r="C79" s="4" t="inlineStr">
        <is>
          <t>Nikhil Reddy</t>
        </is>
      </c>
      <c r="D79" s="4" t="inlineStr">
        <is>
          <t>Operations</t>
        </is>
      </c>
      <c r="E79" s="8" t="n">
        <v>24614</v>
      </c>
      <c r="F79" s="8" t="n">
        <v>9846</v>
      </c>
      <c r="G79" s="8" t="n">
        <v>5717</v>
      </c>
      <c r="H79" s="8" t="n">
        <v>1474</v>
      </c>
      <c r="I79" s="8" t="n">
        <v>0</v>
      </c>
      <c r="J79" s="4" t="inlineStr">
        <is>
          <t>939417300664</t>
        </is>
      </c>
      <c r="K79" s="4" t="inlineStr">
        <is>
          <t>GLIZO6530H</t>
        </is>
      </c>
      <c r="L79" s="4" t="inlineStr">
        <is>
          <t>252819976395</t>
        </is>
      </c>
      <c r="M79" s="4" t="n">
        <v>25</v>
      </c>
      <c r="N79" s="4" t="n">
        <v>0</v>
      </c>
      <c r="O79" s="4">
        <f>IFERROR(INDEX('01_Customer_Tracker'!$B:$B,MATCH(B79,'01_Customer_Tracker'!$A:$A,0)),"")</f>
        <v/>
      </c>
    </row>
    <row r="80">
      <c r="A80" s="4" t="inlineStr">
        <is>
          <t>E079</t>
        </is>
      </c>
      <c r="B80" s="4" t="inlineStr">
        <is>
          <t>C002</t>
        </is>
      </c>
      <c r="C80" s="4" t="inlineStr">
        <is>
          <t>Om Kulkarni</t>
        </is>
      </c>
      <c r="D80" s="4" t="inlineStr">
        <is>
          <t>Support</t>
        </is>
      </c>
      <c r="E80" s="8" t="n">
        <v>45215</v>
      </c>
      <c r="F80" s="8" t="n">
        <v>18086</v>
      </c>
      <c r="G80" s="8" t="n">
        <v>2123</v>
      </c>
      <c r="H80" s="8" t="n">
        <v>3017</v>
      </c>
      <c r="I80" s="8" t="n">
        <v>0</v>
      </c>
      <c r="J80" s="4" t="inlineStr">
        <is>
          <t>200001949796</t>
        </is>
      </c>
      <c r="K80" s="4" t="inlineStr">
        <is>
          <t>TEFVZ3382X</t>
        </is>
      </c>
      <c r="L80" s="4" t="inlineStr">
        <is>
          <t>226049864220</t>
        </is>
      </c>
      <c r="M80" s="4" t="n">
        <v>30</v>
      </c>
      <c r="N80" s="4" t="n">
        <v>0</v>
      </c>
      <c r="O80" s="4">
        <f>IFERROR(INDEX('01_Customer_Tracker'!$B:$B,MATCH(B80,'01_Customer_Tracker'!$A:$A,0)),"")</f>
        <v/>
      </c>
    </row>
    <row r="81">
      <c r="A81" s="4" t="inlineStr">
        <is>
          <t>E080</t>
        </is>
      </c>
      <c r="B81" s="4" t="inlineStr">
        <is>
          <t>C045</t>
        </is>
      </c>
      <c r="C81" s="4" t="inlineStr">
        <is>
          <t>Amit Pillai</t>
        </is>
      </c>
      <c r="D81" s="4" t="inlineStr">
        <is>
          <t>Operations</t>
        </is>
      </c>
      <c r="E81" s="8" t="n">
        <v>32644</v>
      </c>
      <c r="F81" s="8" t="n">
        <v>13058</v>
      </c>
      <c r="G81" s="8" t="n">
        <v>11583</v>
      </c>
      <c r="H81" s="8" t="n">
        <v>721</v>
      </c>
      <c r="I81" s="8" t="n">
        <v>0</v>
      </c>
      <c r="J81" s="4" t="inlineStr">
        <is>
          <t>271951629292</t>
        </is>
      </c>
      <c r="K81" s="4" t="inlineStr">
        <is>
          <t>ALZLS3277U</t>
        </is>
      </c>
      <c r="L81" s="4" t="inlineStr">
        <is>
          <t>794664408905</t>
        </is>
      </c>
      <c r="M81" s="4" t="n">
        <v>29</v>
      </c>
      <c r="N81" s="4" t="n">
        <v>0</v>
      </c>
      <c r="O81" s="4">
        <f>IFERROR(INDEX('01_Customer_Tracker'!$B:$B,MATCH(B81,'01_Customer_Tracker'!$A:$A,0)),"")</f>
        <v/>
      </c>
    </row>
    <row r="82">
      <c r="A82" s="4" t="inlineStr">
        <is>
          <t>E262</t>
        </is>
      </c>
      <c r="B82" s="4" t="inlineStr">
        <is>
          <t>C017</t>
        </is>
      </c>
      <c r="C82" s="4" t="inlineStr">
        <is>
          <t>Priya Pillai</t>
        </is>
      </c>
      <c r="D82" s="4" t="inlineStr">
        <is>
          <t>Support</t>
        </is>
      </c>
      <c r="E82" s="8" t="n">
        <v>30980</v>
      </c>
      <c r="F82" s="8" t="n">
        <v>12392</v>
      </c>
      <c r="G82" s="8" t="n">
        <v>8604</v>
      </c>
      <c r="H82" s="8" t="n">
        <v>10</v>
      </c>
      <c r="I82" s="8" t="n">
        <v>0</v>
      </c>
      <c r="J82" s="4" t="inlineStr">
        <is>
          <t>994136994726</t>
        </is>
      </c>
      <c r="K82" s="4" t="inlineStr">
        <is>
          <t>WBFFX5669S</t>
        </is>
      </c>
      <c r="L82" s="4" t="inlineStr">
        <is>
          <t>180137804567</t>
        </is>
      </c>
      <c r="M82" s="4" t="n">
        <v>29</v>
      </c>
      <c r="N82" s="4" t="n">
        <v>0</v>
      </c>
      <c r="O82" s="4">
        <f>IFERROR(INDEX('01_Customer_Tracker'!$B:$B,MATCH(B82,'01_Customer_Tracker'!$A:$A,0)),"")</f>
        <v/>
      </c>
    </row>
    <row r="83">
      <c r="A83" s="4" t="inlineStr">
        <is>
          <t>E082</t>
        </is>
      </c>
      <c r="B83" s="4" t="inlineStr">
        <is>
          <t>C031</t>
        </is>
      </c>
      <c r="C83" s="4" t="inlineStr">
        <is>
          <t>Aadhya Rao</t>
        </is>
      </c>
      <c r="D83" s="4" t="inlineStr">
        <is>
          <t>Sales</t>
        </is>
      </c>
      <c r="E83" s="8" t="n">
        <v>42865</v>
      </c>
      <c r="F83" s="8" t="n">
        <v>17146</v>
      </c>
      <c r="G83" s="8" t="n">
        <v>3984</v>
      </c>
      <c r="H83" s="8" t="n">
        <v>647</v>
      </c>
      <c r="I83" s="8" t="n">
        <v>3386</v>
      </c>
      <c r="J83" s="4" t="inlineStr">
        <is>
          <t>484622904057</t>
        </is>
      </c>
      <c r="K83" s="4" t="inlineStr">
        <is>
          <t>KTWNQ7646R</t>
        </is>
      </c>
      <c r="L83" s="4" t="inlineStr">
        <is>
          <t>984688454381</t>
        </is>
      </c>
      <c r="M83" s="4" t="n">
        <v>25</v>
      </c>
      <c r="N83" s="4" t="n">
        <v>0</v>
      </c>
      <c r="O83" s="4">
        <f>IFERROR(INDEX('01_Customer_Tracker'!$B:$B,MATCH(B83,'01_Customer_Tracker'!$A:$A,0)),"")</f>
        <v/>
      </c>
    </row>
    <row r="84">
      <c r="A84" s="4" t="inlineStr">
        <is>
          <t>E083</t>
        </is>
      </c>
      <c r="B84" s="4" t="inlineStr">
        <is>
          <t>C035</t>
        </is>
      </c>
      <c r="C84" s="4" t="inlineStr">
        <is>
          <t>Pari Iyer</t>
        </is>
      </c>
      <c r="D84" s="4" t="inlineStr">
        <is>
          <t>Marketing</t>
        </is>
      </c>
      <c r="E84" s="8" t="n">
        <v>20364</v>
      </c>
      <c r="F84" s="8" t="n">
        <v>8146</v>
      </c>
      <c r="G84" s="8" t="n">
        <v>4081</v>
      </c>
      <c r="H84" s="8" t="n">
        <v>1617</v>
      </c>
      <c r="I84" s="8" t="n">
        <v>0</v>
      </c>
      <c r="J84" s="4" t="inlineStr">
        <is>
          <t>106810117470</t>
        </is>
      </c>
      <c r="K84" s="4" t="inlineStr">
        <is>
          <t>SKMDF2563E</t>
        </is>
      </c>
      <c r="L84" s="4" t="inlineStr"/>
      <c r="M84" s="4" t="n">
        <v>25</v>
      </c>
      <c r="N84" s="4" t="n">
        <v>0</v>
      </c>
      <c r="O84" s="4">
        <f>IFERROR(INDEX('01_Customer_Tracker'!$B:$B,MATCH(B84,'01_Customer_Tracker'!$A:$A,0)),"")</f>
        <v/>
      </c>
    </row>
    <row r="85">
      <c r="A85" s="4" t="inlineStr">
        <is>
          <t>E084</t>
        </is>
      </c>
      <c r="B85" s="4" t="inlineStr">
        <is>
          <t>C016</t>
        </is>
      </c>
      <c r="C85" s="4" t="inlineStr">
        <is>
          <t>Diya Iyer</t>
        </is>
      </c>
      <c r="D85" s="4" t="inlineStr">
        <is>
          <t>Marketing</t>
        </is>
      </c>
      <c r="E85" s="8" t="n">
        <v>55414</v>
      </c>
      <c r="F85" s="8" t="n">
        <v>22166</v>
      </c>
      <c r="G85" s="8" t="n">
        <v>9928</v>
      </c>
      <c r="H85" s="8" t="n">
        <v>2821</v>
      </c>
      <c r="I85" s="8" t="n">
        <v>1596</v>
      </c>
      <c r="J85" s="4" t="inlineStr">
        <is>
          <t>262181066616</t>
        </is>
      </c>
      <c r="K85" s="4" t="inlineStr">
        <is>
          <t>HDAYN4618Y</t>
        </is>
      </c>
      <c r="L85" s="4" t="inlineStr">
        <is>
          <t>862003945456</t>
        </is>
      </c>
      <c r="M85" s="4" t="n">
        <v>25</v>
      </c>
      <c r="N85" s="4" t="n">
        <v>0</v>
      </c>
      <c r="O85" s="4">
        <f>IFERROR(INDEX('01_Customer_Tracker'!$B:$B,MATCH(B85,'01_Customer_Tracker'!$A:$A,0)),"")</f>
        <v/>
      </c>
    </row>
    <row r="86">
      <c r="A86" s="4" t="inlineStr">
        <is>
          <t>E085</t>
        </is>
      </c>
      <c r="B86" s="4" t="inlineStr">
        <is>
          <t>C042</t>
        </is>
      </c>
      <c r="C86" s="4" t="inlineStr">
        <is>
          <t>Ananya Sharma</t>
        </is>
      </c>
      <c r="D86" s="4" t="inlineStr">
        <is>
          <t>Engineering</t>
        </is>
      </c>
      <c r="E86" s="8" t="n">
        <v>27145</v>
      </c>
      <c r="F86" s="8" t="n">
        <v>10858</v>
      </c>
      <c r="G86" s="8" t="n">
        <v>9759</v>
      </c>
      <c r="H86" s="8" t="n">
        <v>1387</v>
      </c>
      <c r="I86" s="8" t="n">
        <v>0</v>
      </c>
      <c r="J86" s="4" t="inlineStr">
        <is>
          <t>218825044603</t>
        </is>
      </c>
      <c r="K86" s="4" t="inlineStr">
        <is>
          <t>KXPWG8634B</t>
        </is>
      </c>
      <c r="L86" s="4" t="inlineStr">
        <is>
          <t>145482389785</t>
        </is>
      </c>
      <c r="M86" s="4" t="n">
        <v>25</v>
      </c>
      <c r="N86" s="4" t="n">
        <v>0</v>
      </c>
      <c r="O86" s="4">
        <f>IFERROR(INDEX('01_Customer_Tracker'!$B:$B,MATCH(B86,'01_Customer_Tracker'!$A:$A,0)),"")</f>
        <v/>
      </c>
    </row>
    <row r="87">
      <c r="A87" s="4" t="inlineStr">
        <is>
          <t>E086</t>
        </is>
      </c>
      <c r="B87" s="4" t="inlineStr">
        <is>
          <t>C015</t>
        </is>
      </c>
      <c r="C87" s="4" t="inlineStr">
        <is>
          <t>Dhruv Patel</t>
        </is>
      </c>
      <c r="D87" s="4" t="inlineStr">
        <is>
          <t>Engineering</t>
        </is>
      </c>
      <c r="E87" s="8" t="n">
        <v>61418</v>
      </c>
      <c r="F87" s="8" t="n">
        <v>24567</v>
      </c>
      <c r="G87" s="8" t="n">
        <v>7145</v>
      </c>
      <c r="H87" s="8" t="n">
        <v>3733</v>
      </c>
      <c r="I87" s="8" t="n">
        <v>730</v>
      </c>
      <c r="J87" s="4" t="inlineStr">
        <is>
          <t>939126344370</t>
        </is>
      </c>
      <c r="K87" s="4" t="inlineStr">
        <is>
          <t>UCSZL1510W</t>
        </is>
      </c>
      <c r="L87" s="4" t="inlineStr">
        <is>
          <t>574711867064</t>
        </is>
      </c>
      <c r="M87" s="4" t="n">
        <v>30</v>
      </c>
      <c r="N87" s="4" t="n">
        <v>0</v>
      </c>
      <c r="O87" s="4">
        <f>IFERROR(INDEX('01_Customer_Tracker'!$B:$B,MATCH(B87,'01_Customer_Tracker'!$A:$A,0)),"")</f>
        <v/>
      </c>
    </row>
    <row r="88">
      <c r="A88" s="4" t="inlineStr">
        <is>
          <t>E087</t>
        </is>
      </c>
      <c r="B88" s="4" t="inlineStr">
        <is>
          <t>C022</t>
        </is>
      </c>
      <c r="C88" s="4" t="inlineStr">
        <is>
          <t>Priya Reddy</t>
        </is>
      </c>
      <c r="D88" s="4" t="inlineStr">
        <is>
          <t>Support</t>
        </is>
      </c>
      <c r="E88" s="8" t="n">
        <v>61571</v>
      </c>
      <c r="F88" s="8" t="n">
        <v>24628</v>
      </c>
      <c r="G88" s="8" t="n">
        <v>4522</v>
      </c>
      <c r="H88" s="8" t="n">
        <v>2086</v>
      </c>
      <c r="I88" s="8" t="n">
        <v>707</v>
      </c>
      <c r="J88" s="4" t="inlineStr">
        <is>
          <t>507846187610</t>
        </is>
      </c>
      <c r="K88" s="4" t="inlineStr">
        <is>
          <t>RNNPW4555V</t>
        </is>
      </c>
      <c r="L88" s="4" t="inlineStr">
        <is>
          <t>921838375311</t>
        </is>
      </c>
      <c r="M88" s="4" t="n">
        <v>29</v>
      </c>
      <c r="N88" s="4" t="n">
        <v>2</v>
      </c>
      <c r="O88" s="4">
        <f>IFERROR(INDEX('01_Customer_Tracker'!$B:$B,MATCH(B88,'01_Customer_Tracker'!$A:$A,0)),"")</f>
        <v/>
      </c>
    </row>
    <row r="89">
      <c r="A89" s="4" t="inlineStr">
        <is>
          <t>E088</t>
        </is>
      </c>
      <c r="B89" s="4" t="inlineStr">
        <is>
          <t>C043</t>
        </is>
      </c>
      <c r="C89" s="4" t="inlineStr">
        <is>
          <t>Priya Nair</t>
        </is>
      </c>
      <c r="D89" s="4" t="inlineStr">
        <is>
          <t>HR</t>
        </is>
      </c>
      <c r="E89" s="8" t="n">
        <v>33972</v>
      </c>
      <c r="F89" s="8" t="n">
        <v>13589</v>
      </c>
      <c r="G89" s="8" t="n">
        <v>6992</v>
      </c>
      <c r="H89" s="8" t="n">
        <v>2164</v>
      </c>
      <c r="I89" s="8" t="n">
        <v>0</v>
      </c>
      <c r="J89" s="4" t="inlineStr">
        <is>
          <t>961020022771</t>
        </is>
      </c>
      <c r="K89" s="4" t="inlineStr">
        <is>
          <t>EASVX2410Z</t>
        </is>
      </c>
      <c r="L89" s="4" t="inlineStr">
        <is>
          <t>416845606814</t>
        </is>
      </c>
      <c r="M89" s="4" t="n">
        <v>26</v>
      </c>
      <c r="N89" s="4" t="n">
        <v>0</v>
      </c>
      <c r="O89" s="4">
        <f>IFERROR(INDEX('01_Customer_Tracker'!$B:$B,MATCH(B89,'01_Customer_Tracker'!$A:$A,0)),"")</f>
        <v/>
      </c>
    </row>
    <row r="90">
      <c r="A90" s="4" t="inlineStr">
        <is>
          <t>E089</t>
        </is>
      </c>
      <c r="B90" s="4" t="inlineStr">
        <is>
          <t>C040</t>
        </is>
      </c>
      <c r="C90" s="4" t="inlineStr">
        <is>
          <t>Om Verma</t>
        </is>
      </c>
      <c r="D90" s="4" t="inlineStr">
        <is>
          <t>Marketing</t>
        </is>
      </c>
      <c r="E90" s="8" t="n">
        <v>31657</v>
      </c>
      <c r="F90" s="8" t="n">
        <v>12663</v>
      </c>
      <c r="G90" s="8" t="n">
        <v>2484</v>
      </c>
      <c r="H90" s="8" t="n">
        <v>1512</v>
      </c>
      <c r="I90" s="8" t="n">
        <v>0</v>
      </c>
      <c r="J90" s="4" t="inlineStr">
        <is>
          <t>291210797420</t>
        </is>
      </c>
      <c r="K90" s="4" t="inlineStr">
        <is>
          <t>KNUPJ6489Z</t>
        </is>
      </c>
      <c r="L90" s="4" t="inlineStr">
        <is>
          <t>895176852780</t>
        </is>
      </c>
      <c r="M90" s="4" t="n">
        <v>29</v>
      </c>
      <c r="N90" s="4" t="n">
        <v>0</v>
      </c>
      <c r="O90" s="4">
        <f>IFERROR(INDEX('01_Customer_Tracker'!$B:$B,MATCH(B90,'01_Customer_Tracker'!$A:$A,0)),"")</f>
        <v/>
      </c>
    </row>
    <row r="91">
      <c r="A91" s="4" t="inlineStr">
        <is>
          <t>E090</t>
        </is>
      </c>
      <c r="B91" s="4" t="inlineStr">
        <is>
          <t>C022</t>
        </is>
      </c>
      <c r="C91" s="4" t="inlineStr">
        <is>
          <t>Saanvi Iyer</t>
        </is>
      </c>
      <c r="D91" s="4" t="inlineStr">
        <is>
          <t>Operations</t>
        </is>
      </c>
      <c r="E91" s="8" t="n">
        <v>32654</v>
      </c>
      <c r="F91" s="8" t="n">
        <v>13062</v>
      </c>
      <c r="G91" s="8" t="n">
        <v>7866</v>
      </c>
      <c r="H91" s="8" t="n">
        <v>768</v>
      </c>
      <c r="I91" s="8" t="n">
        <v>0</v>
      </c>
      <c r="J91" s="4" t="inlineStr">
        <is>
          <t>34206332473</t>
        </is>
      </c>
      <c r="K91" s="4" t="inlineStr">
        <is>
          <t>RLFXS3881O</t>
        </is>
      </c>
      <c r="L91" s="4" t="inlineStr">
        <is>
          <t>546044570380</t>
        </is>
      </c>
      <c r="M91" s="4" t="n">
        <v>27</v>
      </c>
      <c r="N91" s="4" t="n">
        <v>0</v>
      </c>
      <c r="O91" s="4">
        <f>IFERROR(INDEX('01_Customer_Tracker'!$B:$B,MATCH(B91,'01_Customer_Tracker'!$A:$A,0)),"")</f>
        <v/>
      </c>
    </row>
    <row r="92">
      <c r="A92" s="4" t="inlineStr">
        <is>
          <t>E091</t>
        </is>
      </c>
      <c r="B92" s="4" t="inlineStr">
        <is>
          <t>C047</t>
        </is>
      </c>
      <c r="C92" s="4" t="inlineStr">
        <is>
          <t>Aditya Pillai</t>
        </is>
      </c>
      <c r="D92" s="4" t="inlineStr">
        <is>
          <t>Marketing</t>
        </is>
      </c>
      <c r="E92" s="8" t="n">
        <v>71281</v>
      </c>
      <c r="F92" s="8" t="n">
        <v>28512</v>
      </c>
      <c r="G92" s="8" t="n">
        <v>1824</v>
      </c>
      <c r="H92" s="8" t="n">
        <v>4796</v>
      </c>
      <c r="I92" s="8" t="n">
        <v>0</v>
      </c>
      <c r="J92" s="4" t="inlineStr">
        <is>
          <t>60371927199</t>
        </is>
      </c>
      <c r="K92" s="4" t="inlineStr">
        <is>
          <t>KJTOG5722W</t>
        </is>
      </c>
      <c r="L92" s="4" t="inlineStr">
        <is>
          <t>771461181062</t>
        </is>
      </c>
      <c r="M92" s="4" t="n">
        <v>29</v>
      </c>
      <c r="N92" s="4" t="n">
        <v>2</v>
      </c>
      <c r="O92" s="4">
        <f>IFERROR(INDEX('01_Customer_Tracker'!$B:$B,MATCH(B92,'01_Customer_Tracker'!$A:$A,0)),"")</f>
        <v/>
      </c>
    </row>
    <row r="93">
      <c r="A93" s="4" t="inlineStr">
        <is>
          <t>E092</t>
        </is>
      </c>
      <c r="B93" s="4" t="inlineStr">
        <is>
          <t>C026</t>
        </is>
      </c>
      <c r="C93" s="4" t="inlineStr">
        <is>
          <t>Dhruv Joshi</t>
        </is>
      </c>
      <c r="D93" s="4" t="inlineStr">
        <is>
          <t>Operations</t>
        </is>
      </c>
      <c r="E93" s="8" t="n">
        <v>73445</v>
      </c>
      <c r="F93" s="8" t="n">
        <v>29378</v>
      </c>
      <c r="G93" s="8" t="n">
        <v>9890</v>
      </c>
      <c r="H93" s="8" t="n">
        <v>1443</v>
      </c>
      <c r="I93" s="8" t="n">
        <v>2445</v>
      </c>
      <c r="J93" s="4" t="inlineStr">
        <is>
          <t>958930141034</t>
        </is>
      </c>
      <c r="K93" s="4" t="inlineStr">
        <is>
          <t>ALSCQ4343T</t>
        </is>
      </c>
      <c r="L93" s="4" t="inlineStr">
        <is>
          <t>578451626825</t>
        </is>
      </c>
      <c r="M93" s="4" t="n">
        <v>24</v>
      </c>
      <c r="N93" s="4" t="n">
        <v>0</v>
      </c>
      <c r="O93" s="4">
        <f>IFERROR(INDEX('01_Customer_Tracker'!$B:$B,MATCH(B93,'01_Customer_Tracker'!$A:$A,0)),"")</f>
        <v/>
      </c>
    </row>
    <row r="94">
      <c r="A94" s="4" t="inlineStr">
        <is>
          <t>E093</t>
        </is>
      </c>
      <c r="B94" s="4" t="inlineStr">
        <is>
          <t>C023</t>
        </is>
      </c>
      <c r="C94" s="4" t="inlineStr">
        <is>
          <t>Riya Verma</t>
        </is>
      </c>
      <c r="D94" s="4" t="inlineStr">
        <is>
          <t>HR</t>
        </is>
      </c>
      <c r="E94" s="8" t="n">
        <v>38283</v>
      </c>
      <c r="F94" s="8" t="n">
        <v>15313</v>
      </c>
      <c r="G94" s="8" t="n">
        <v>3616</v>
      </c>
      <c r="H94" s="8" t="n">
        <v>52</v>
      </c>
      <c r="I94" s="8" t="n">
        <v>0</v>
      </c>
      <c r="J94" s="4" t="inlineStr">
        <is>
          <t>356067975337</t>
        </is>
      </c>
      <c r="K94" s="4" t="inlineStr">
        <is>
          <t>XZPDD3367Z</t>
        </is>
      </c>
      <c r="L94" s="4" t="inlineStr">
        <is>
          <t>912603418866</t>
        </is>
      </c>
      <c r="M94" s="4" t="n">
        <v>28</v>
      </c>
      <c r="N94" s="4" t="n">
        <v>0</v>
      </c>
      <c r="O94" s="4">
        <f>IFERROR(INDEX('01_Customer_Tracker'!$B:$B,MATCH(B94,'01_Customer_Tracker'!$A:$A,0)),"")</f>
        <v/>
      </c>
    </row>
    <row r="95">
      <c r="A95" s="4" t="inlineStr">
        <is>
          <t>E094</t>
        </is>
      </c>
      <c r="B95" s="4" t="inlineStr">
        <is>
          <t>C039</t>
        </is>
      </c>
      <c r="C95" s="4" t="inlineStr">
        <is>
          <t>Varun Pillai</t>
        </is>
      </c>
      <c r="D95" s="4" t="inlineStr">
        <is>
          <t>Sales</t>
        </is>
      </c>
      <c r="E95" s="8" t="n">
        <v>36822</v>
      </c>
      <c r="F95" s="8" t="n">
        <v>14729</v>
      </c>
      <c r="G95" s="8" t="n">
        <v>3723</v>
      </c>
      <c r="H95" s="8" t="n">
        <v>392</v>
      </c>
      <c r="I95" s="8" t="n">
        <v>540</v>
      </c>
      <c r="J95" s="4" t="inlineStr">
        <is>
          <t>80591488842</t>
        </is>
      </c>
      <c r="K95" s="4" t="inlineStr">
        <is>
          <t>BZCBA2192N</t>
        </is>
      </c>
      <c r="L95" s="4" t="inlineStr">
        <is>
          <t>622216195068</t>
        </is>
      </c>
      <c r="M95" s="4" t="n">
        <v>29</v>
      </c>
      <c r="N95" s="4" t="n">
        <v>0</v>
      </c>
      <c r="O95" s="4">
        <f>IFERROR(INDEX('01_Customer_Tracker'!$B:$B,MATCH(B95,'01_Customer_Tracker'!$A:$A,0)),"")</f>
        <v/>
      </c>
    </row>
    <row r="96">
      <c r="A96" s="4" t="inlineStr">
        <is>
          <t>E095</t>
        </is>
      </c>
      <c r="B96" s="4" t="inlineStr">
        <is>
          <t>C033</t>
        </is>
      </c>
      <c r="C96" s="4" t="inlineStr">
        <is>
          <t>Vivaan Bhatia</t>
        </is>
      </c>
      <c r="D96" s="4" t="inlineStr">
        <is>
          <t>Operations</t>
        </is>
      </c>
      <c r="E96" s="8" t="n">
        <v>81163</v>
      </c>
      <c r="F96" s="8" t="n">
        <v>32465</v>
      </c>
      <c r="G96" s="8" t="n">
        <v>4729</v>
      </c>
      <c r="H96" s="8" t="n">
        <v>4145</v>
      </c>
      <c r="I96" s="8" t="n">
        <v>0</v>
      </c>
      <c r="J96" s="4" t="inlineStr">
        <is>
          <t>715622196822</t>
        </is>
      </c>
      <c r="K96" s="4" t="inlineStr">
        <is>
          <t>KLSIE5208B</t>
        </is>
      </c>
      <c r="L96" s="4" t="inlineStr">
        <is>
          <t>816914556821</t>
        </is>
      </c>
      <c r="M96" s="4" t="n">
        <v>25</v>
      </c>
      <c r="N96" s="4" t="n">
        <v>0</v>
      </c>
      <c r="O96" s="4">
        <f>IFERROR(INDEX('01_Customer_Tracker'!$B:$B,MATCH(B96,'01_Customer_Tracker'!$A:$A,0)),"")</f>
        <v/>
      </c>
    </row>
    <row r="97">
      <c r="A97" s="4" t="inlineStr">
        <is>
          <t>E096</t>
        </is>
      </c>
      <c r="B97" s="4" t="inlineStr">
        <is>
          <t>C021</t>
        </is>
      </c>
      <c r="C97" s="4" t="inlineStr">
        <is>
          <t>Pari Reddy</t>
        </is>
      </c>
      <c r="D97" s="4" t="inlineStr">
        <is>
          <t>Support</t>
        </is>
      </c>
      <c r="E97" s="8" t="n">
        <v>33476</v>
      </c>
      <c r="F97" s="8" t="n">
        <v>13390</v>
      </c>
      <c r="G97" s="8" t="n">
        <v>9895</v>
      </c>
      <c r="H97" s="8" t="n">
        <v>2255</v>
      </c>
      <c r="I97" s="8" t="n">
        <v>5717</v>
      </c>
      <c r="J97" s="4" t="inlineStr">
        <is>
          <t>857845534348</t>
        </is>
      </c>
      <c r="K97" s="4" t="inlineStr">
        <is>
          <t>RWCWT2858H</t>
        </is>
      </c>
      <c r="L97" s="4" t="inlineStr">
        <is>
          <t>294960127765</t>
        </is>
      </c>
      <c r="M97" s="4" t="n">
        <v>27</v>
      </c>
      <c r="N97" s="4" t="n">
        <v>0</v>
      </c>
      <c r="O97" s="4">
        <f>IFERROR(INDEX('01_Customer_Tracker'!$B:$B,MATCH(B97,'01_Customer_Tracker'!$A:$A,0)),"")</f>
        <v/>
      </c>
    </row>
    <row r="98">
      <c r="A98" s="4" t="inlineStr">
        <is>
          <t>E097</t>
        </is>
      </c>
      <c r="B98" s="4" t="inlineStr">
        <is>
          <t>C032</t>
        </is>
      </c>
      <c r="C98" s="4" t="inlineStr">
        <is>
          <t>Advait Gupta</t>
        </is>
      </c>
      <c r="D98" s="4" t="inlineStr">
        <is>
          <t>Operations</t>
        </is>
      </c>
      <c r="E98" s="8" t="n">
        <v>88865</v>
      </c>
      <c r="F98" s="8" t="n">
        <v>35546</v>
      </c>
      <c r="G98" s="8" t="n">
        <v>7472</v>
      </c>
      <c r="H98" s="8" t="n">
        <v>1768</v>
      </c>
      <c r="I98" s="8" t="n">
        <v>0</v>
      </c>
      <c r="J98" s="4" t="inlineStr">
        <is>
          <t>625643410347</t>
        </is>
      </c>
      <c r="K98" s="4" t="inlineStr">
        <is>
          <t>HLPEQ9321D</t>
        </is>
      </c>
      <c r="L98" s="4" t="inlineStr">
        <is>
          <t>724186422627</t>
        </is>
      </c>
      <c r="M98" s="4" t="n">
        <v>28</v>
      </c>
      <c r="N98" s="4" t="n">
        <v>0</v>
      </c>
      <c r="O98" s="4">
        <f>IFERROR(INDEX('01_Customer_Tracker'!$B:$B,MATCH(B98,'01_Customer_Tracker'!$A:$A,0)),"")</f>
        <v/>
      </c>
    </row>
    <row r="99">
      <c r="A99" s="4" t="inlineStr">
        <is>
          <t>E098</t>
        </is>
      </c>
      <c r="B99" s="4" t="inlineStr">
        <is>
          <t>C038</t>
        </is>
      </c>
      <c r="C99" s="4" t="inlineStr">
        <is>
          <t>Shaurya Bhatia</t>
        </is>
      </c>
      <c r="D99" s="4" t="inlineStr">
        <is>
          <t>Engineering</t>
        </is>
      </c>
      <c r="E99" s="8" t="n">
        <v>71346</v>
      </c>
      <c r="F99" s="8" t="n">
        <v>28538</v>
      </c>
      <c r="G99" s="8" t="n">
        <v>6191</v>
      </c>
      <c r="H99" s="8" t="n">
        <v>293</v>
      </c>
      <c r="I99" s="8" t="n">
        <v>2454</v>
      </c>
      <c r="J99" s="4" t="inlineStr">
        <is>
          <t>230144248617</t>
        </is>
      </c>
      <c r="K99" s="4" t="inlineStr">
        <is>
          <t>ILVTU3133V</t>
        </is>
      </c>
      <c r="L99" s="4" t="inlineStr">
        <is>
          <t>591218457164</t>
        </is>
      </c>
      <c r="M99" s="4" t="n">
        <v>29</v>
      </c>
      <c r="N99" s="4" t="n">
        <v>0</v>
      </c>
      <c r="O99" s="4">
        <f>IFERROR(INDEX('01_Customer_Tracker'!$B:$B,MATCH(B99,'01_Customer_Tracker'!$A:$A,0)),"")</f>
        <v/>
      </c>
    </row>
    <row r="100">
      <c r="A100" s="4" t="inlineStr">
        <is>
          <t>E099</t>
        </is>
      </c>
      <c r="B100" s="4" t="inlineStr">
        <is>
          <t>C047</t>
        </is>
      </c>
      <c r="C100" s="4" t="inlineStr">
        <is>
          <t>Rahul Kapoor</t>
        </is>
      </c>
      <c r="D100" s="4" t="inlineStr">
        <is>
          <t>Finance</t>
        </is>
      </c>
      <c r="E100" s="8" t="n">
        <v>52439</v>
      </c>
      <c r="F100" s="8" t="n">
        <v>20976</v>
      </c>
      <c r="G100" s="8" t="n">
        <v>2367</v>
      </c>
      <c r="H100" s="8" t="n">
        <v>2599</v>
      </c>
      <c r="I100" s="8" t="n">
        <v>0</v>
      </c>
      <c r="J100" s="4" t="inlineStr">
        <is>
          <t>496894455598</t>
        </is>
      </c>
      <c r="K100" s="4" t="inlineStr">
        <is>
          <t>YNQPZ7636D</t>
        </is>
      </c>
      <c r="L100" s="4" t="inlineStr">
        <is>
          <t>564118694669</t>
        </is>
      </c>
      <c r="M100" s="4" t="n">
        <v>24</v>
      </c>
      <c r="N100" s="4" t="n">
        <v>0</v>
      </c>
      <c r="O100" s="4">
        <f>IFERROR(INDEX('01_Customer_Tracker'!$B:$B,MATCH(B100,'01_Customer_Tracker'!$A:$A,0)),"")</f>
        <v/>
      </c>
    </row>
    <row r="101">
      <c r="A101" s="4" t="inlineStr">
        <is>
          <t>E100</t>
        </is>
      </c>
      <c r="B101" s="4" t="inlineStr">
        <is>
          <t>C037</t>
        </is>
      </c>
      <c r="C101" s="4" t="inlineStr">
        <is>
          <t>Kabir Kulkarni</t>
        </is>
      </c>
      <c r="D101" s="4" t="inlineStr">
        <is>
          <t>Operations</t>
        </is>
      </c>
      <c r="E101" s="8" t="n">
        <v>52012</v>
      </c>
      <c r="F101" s="8" t="n">
        <v>20805</v>
      </c>
      <c r="G101" s="8" t="n">
        <v>7352</v>
      </c>
      <c r="H101" s="8" t="n">
        <v>1948</v>
      </c>
      <c r="I101" s="8" t="n">
        <v>0</v>
      </c>
      <c r="J101" s="4" t="inlineStr">
        <is>
          <t>456070698964</t>
        </is>
      </c>
      <c r="K101" s="4" t="inlineStr">
        <is>
          <t>PELFD1856P</t>
        </is>
      </c>
      <c r="L101" s="4" t="inlineStr">
        <is>
          <t>488751094900</t>
        </is>
      </c>
      <c r="M101" s="4" t="n">
        <v>24</v>
      </c>
      <c r="N101" s="4" t="n">
        <v>0</v>
      </c>
      <c r="O101" s="4">
        <f>IFERROR(INDEX('01_Customer_Tracker'!$B:$B,MATCH(B101,'01_Customer_Tracker'!$A:$A,0)),"")</f>
        <v/>
      </c>
    </row>
    <row r="102">
      <c r="A102" s="4" t="inlineStr">
        <is>
          <t>E101</t>
        </is>
      </c>
      <c r="B102" s="4" t="inlineStr">
        <is>
          <t>C026</t>
        </is>
      </c>
      <c r="C102" s="4" t="inlineStr">
        <is>
          <t>Dhruv Rao</t>
        </is>
      </c>
      <c r="D102" s="4" t="inlineStr">
        <is>
          <t>HR</t>
        </is>
      </c>
      <c r="E102" s="8" t="n">
        <v>17411</v>
      </c>
      <c r="F102" s="8" t="n">
        <v>6964</v>
      </c>
      <c r="G102" s="8" t="n">
        <v>3762</v>
      </c>
      <c r="H102" s="8" t="n">
        <v>793</v>
      </c>
      <c r="I102" s="8" t="n">
        <v>633</v>
      </c>
      <c r="J102" s="4" t="inlineStr">
        <is>
          <t>175691349647</t>
        </is>
      </c>
      <c r="K102" s="4" t="inlineStr">
        <is>
          <t>YKQFI4557Q</t>
        </is>
      </c>
      <c r="L102" s="4" t="inlineStr">
        <is>
          <t>471032736817</t>
        </is>
      </c>
      <c r="M102" s="4" t="n">
        <v>26</v>
      </c>
      <c r="N102" s="4" t="n">
        <v>2</v>
      </c>
      <c r="O102" s="4">
        <f>IFERROR(INDEX('01_Customer_Tracker'!$B:$B,MATCH(B102,'01_Customer_Tracker'!$A:$A,0)),"")</f>
        <v/>
      </c>
    </row>
    <row r="103">
      <c r="A103" s="4" t="inlineStr">
        <is>
          <t>E102</t>
        </is>
      </c>
      <c r="B103" s="4" t="inlineStr">
        <is>
          <t>C040</t>
        </is>
      </c>
      <c r="C103" s="4" t="inlineStr">
        <is>
          <t>Rohan Kulkarni</t>
        </is>
      </c>
      <c r="D103" s="4" t="inlineStr">
        <is>
          <t>Marketing</t>
        </is>
      </c>
      <c r="E103" s="8" t="n">
        <v>52515</v>
      </c>
      <c r="F103" s="8" t="n">
        <v>21006</v>
      </c>
      <c r="G103" s="8" t="n">
        <v>3142</v>
      </c>
      <c r="H103" s="8" t="n">
        <v>3176</v>
      </c>
      <c r="I103" s="8" t="n">
        <v>0</v>
      </c>
      <c r="J103" s="4" t="inlineStr">
        <is>
          <t>998840324844</t>
        </is>
      </c>
      <c r="K103" s="4" t="inlineStr">
        <is>
          <t>UFSHJ3253R</t>
        </is>
      </c>
      <c r="L103" s="4" t="inlineStr">
        <is>
          <t>624200267384</t>
        </is>
      </c>
      <c r="M103" s="4" t="n">
        <v>25</v>
      </c>
      <c r="N103" s="4" t="n">
        <v>0</v>
      </c>
      <c r="O103" s="4">
        <f>IFERROR(INDEX('01_Customer_Tracker'!$B:$B,MATCH(B103,'01_Customer_Tracker'!$A:$A,0)),"")</f>
        <v/>
      </c>
    </row>
    <row r="104">
      <c r="A104" s="4" t="inlineStr">
        <is>
          <t>E103</t>
        </is>
      </c>
      <c r="B104" s="4" t="inlineStr">
        <is>
          <t>C050</t>
        </is>
      </c>
      <c r="C104" s="4" t="inlineStr">
        <is>
          <t>Aarav Chauhan</t>
        </is>
      </c>
      <c r="D104" s="4" t="inlineStr">
        <is>
          <t>Engineering</t>
        </is>
      </c>
      <c r="E104" s="8" t="n">
        <v>54507</v>
      </c>
      <c r="F104" s="8" t="n">
        <v>21803</v>
      </c>
      <c r="G104" s="8" t="n">
        <v>5079</v>
      </c>
      <c r="H104" s="8" t="n">
        <v>2786</v>
      </c>
      <c r="I104" s="8" t="n">
        <v>0</v>
      </c>
      <c r="J104" s="4" t="inlineStr">
        <is>
          <t>933604123868</t>
        </is>
      </c>
      <c r="K104" s="4" t="inlineStr">
        <is>
          <t>IFJNR8494F</t>
        </is>
      </c>
      <c r="L104" s="4" t="inlineStr">
        <is>
          <t>495828138231</t>
        </is>
      </c>
      <c r="M104" s="4" t="n">
        <v>26</v>
      </c>
      <c r="N104" s="4" t="n">
        <v>0</v>
      </c>
      <c r="O104" s="4">
        <f>IFERROR(INDEX('01_Customer_Tracker'!$B:$B,MATCH(B104,'01_Customer_Tracker'!$A:$A,0)),"")</f>
        <v/>
      </c>
    </row>
    <row r="105">
      <c r="A105" s="4" t="inlineStr">
        <is>
          <t>E104</t>
        </is>
      </c>
      <c r="B105" s="4" t="inlineStr">
        <is>
          <t>C048</t>
        </is>
      </c>
      <c r="C105" s="4" t="inlineStr">
        <is>
          <t>Anika Chauhan</t>
        </is>
      </c>
      <c r="D105" s="4" t="inlineStr">
        <is>
          <t>Marketing</t>
        </is>
      </c>
      <c r="E105" s="8" t="n">
        <v>82958</v>
      </c>
      <c r="F105" s="8" t="n">
        <v>33183</v>
      </c>
      <c r="G105" s="8" t="n">
        <v>7609</v>
      </c>
      <c r="H105" s="8" t="n">
        <v>5298</v>
      </c>
      <c r="I105" s="8" t="n">
        <v>226</v>
      </c>
      <c r="J105" s="4" t="inlineStr">
        <is>
          <t>551810012792</t>
        </is>
      </c>
      <c r="K105" s="4" t="inlineStr">
        <is>
          <t>ICOEN6180Q</t>
        </is>
      </c>
      <c r="L105" s="4" t="inlineStr">
        <is>
          <t>467490720369</t>
        </is>
      </c>
      <c r="M105" s="4" t="n">
        <v>28</v>
      </c>
      <c r="N105" s="4" t="n">
        <v>0</v>
      </c>
      <c r="O105" s="4">
        <f>IFERROR(INDEX('01_Customer_Tracker'!$B:$B,MATCH(B105,'01_Customer_Tracker'!$A:$A,0)),"")</f>
        <v/>
      </c>
    </row>
    <row r="106">
      <c r="A106" s="4" t="inlineStr">
        <is>
          <t>E105</t>
        </is>
      </c>
      <c r="B106" s="4" t="inlineStr">
        <is>
          <t>C044</t>
        </is>
      </c>
      <c r="C106" s="4" t="inlineStr">
        <is>
          <t>Priya Mehta</t>
        </is>
      </c>
      <c r="D106" s="4" t="inlineStr">
        <is>
          <t>Operations</t>
        </is>
      </c>
      <c r="E106" s="8" t="n">
        <v>54565</v>
      </c>
      <c r="F106" s="8" t="n">
        <v>21826</v>
      </c>
      <c r="G106" s="8" t="n">
        <v>2835</v>
      </c>
      <c r="H106" s="8" t="n">
        <v>1877</v>
      </c>
      <c r="I106" s="8" t="n">
        <v>0</v>
      </c>
      <c r="J106" s="4" t="inlineStr">
        <is>
          <t>451819515194</t>
        </is>
      </c>
      <c r="K106" s="4" t="inlineStr">
        <is>
          <t>EBFCT9861O</t>
        </is>
      </c>
      <c r="L106" s="4" t="inlineStr">
        <is>
          <t>119040410280</t>
        </is>
      </c>
      <c r="M106" s="4" t="n">
        <v>30</v>
      </c>
      <c r="N106" s="4" t="n">
        <v>0</v>
      </c>
      <c r="O106" s="4">
        <f>IFERROR(INDEX('01_Customer_Tracker'!$B:$B,MATCH(B106,'01_Customer_Tracker'!$A:$A,0)),"")</f>
        <v/>
      </c>
    </row>
    <row r="107">
      <c r="A107" s="4" t="inlineStr">
        <is>
          <t>E106</t>
        </is>
      </c>
      <c r="B107" s="4" t="inlineStr">
        <is>
          <t>C017</t>
        </is>
      </c>
      <c r="C107" s="4" t="inlineStr">
        <is>
          <t>Ananya Desai</t>
        </is>
      </c>
      <c r="D107" s="4" t="inlineStr">
        <is>
          <t>Marketing</t>
        </is>
      </c>
      <c r="E107" s="8" t="n">
        <v>35627</v>
      </c>
      <c r="F107" s="8" t="n">
        <v>14251</v>
      </c>
      <c r="G107" s="8" t="n">
        <v>8716</v>
      </c>
      <c r="H107" s="8" t="n">
        <v>185</v>
      </c>
      <c r="I107" s="8" t="n">
        <v>5538</v>
      </c>
      <c r="J107" s="4" t="inlineStr">
        <is>
          <t>31506221147</t>
        </is>
      </c>
      <c r="K107" s="4" t="inlineStr">
        <is>
          <t>PAWCE5669P</t>
        </is>
      </c>
      <c r="L107" s="4" t="inlineStr">
        <is>
          <t>500219225209</t>
        </is>
      </c>
      <c r="M107" s="4" t="n">
        <v>28</v>
      </c>
      <c r="N107" s="4" t="n">
        <v>1</v>
      </c>
      <c r="O107" s="4">
        <f>IFERROR(INDEX('01_Customer_Tracker'!$B:$B,MATCH(B107,'01_Customer_Tracker'!$A:$A,0)),"")</f>
        <v/>
      </c>
    </row>
    <row r="108">
      <c r="A108" s="4" t="inlineStr">
        <is>
          <t>E107</t>
        </is>
      </c>
      <c r="B108" s="4" t="inlineStr">
        <is>
          <t>C007</t>
        </is>
      </c>
      <c r="C108" s="4" t="inlineStr">
        <is>
          <t>Navya Pillai</t>
        </is>
      </c>
      <c r="D108" s="4" t="inlineStr">
        <is>
          <t>HR</t>
        </is>
      </c>
      <c r="E108" s="8" t="n">
        <v>81978</v>
      </c>
      <c r="F108" s="8" t="n">
        <v>32791</v>
      </c>
      <c r="G108" s="8" t="n">
        <v>2824</v>
      </c>
      <c r="H108" s="8" t="n">
        <v>72</v>
      </c>
      <c r="I108" s="8" t="n">
        <v>3563</v>
      </c>
      <c r="J108" s="4" t="inlineStr"/>
      <c r="K108" s="4" t="inlineStr">
        <is>
          <t>XRDXF8273R</t>
        </is>
      </c>
      <c r="L108" s="4" t="inlineStr">
        <is>
          <t>752335140021</t>
        </is>
      </c>
      <c r="M108" s="4" t="n">
        <v>25</v>
      </c>
      <c r="N108" s="4" t="n">
        <v>0</v>
      </c>
      <c r="O108" s="4">
        <f>IFERROR(INDEX('01_Customer_Tracker'!$B:$B,MATCH(B108,'01_Customer_Tracker'!$A:$A,0)),"")</f>
        <v/>
      </c>
    </row>
    <row r="109">
      <c r="A109" s="4" t="inlineStr">
        <is>
          <t>E108</t>
        </is>
      </c>
      <c r="B109" s="4" t="inlineStr">
        <is>
          <t>C041</t>
        </is>
      </c>
      <c r="C109" s="4" t="inlineStr">
        <is>
          <t>Aryan Agarwal</t>
        </is>
      </c>
      <c r="D109" s="4" t="inlineStr">
        <is>
          <t>Finance</t>
        </is>
      </c>
      <c r="E109" s="8" t="n">
        <v>56965</v>
      </c>
      <c r="F109" s="8" t="n">
        <v>22786</v>
      </c>
      <c r="G109" s="8" t="n">
        <v>4652</v>
      </c>
      <c r="H109" s="8" t="n">
        <v>4196</v>
      </c>
      <c r="I109" s="8" t="n">
        <v>0</v>
      </c>
      <c r="J109" s="4" t="inlineStr">
        <is>
          <t>232171733747</t>
        </is>
      </c>
      <c r="K109" s="4" t="inlineStr">
        <is>
          <t>MTBCJ5337S</t>
        </is>
      </c>
      <c r="L109" s="4" t="inlineStr">
        <is>
          <t>116594022587</t>
        </is>
      </c>
      <c r="M109" s="4" t="n">
        <v>26</v>
      </c>
      <c r="N109" s="4" t="n">
        <v>0</v>
      </c>
      <c r="O109" s="4">
        <f>IFERROR(INDEX('01_Customer_Tracker'!$B:$B,MATCH(B109,'01_Customer_Tracker'!$A:$A,0)),"")</f>
        <v/>
      </c>
    </row>
    <row r="110">
      <c r="A110" s="4" t="inlineStr">
        <is>
          <t>E109</t>
        </is>
      </c>
      <c r="B110" s="4" t="inlineStr">
        <is>
          <t>C014</t>
        </is>
      </c>
      <c r="C110" s="4" t="inlineStr">
        <is>
          <t>Anika Iyer</t>
        </is>
      </c>
      <c r="D110" s="4" t="inlineStr">
        <is>
          <t>HR</t>
        </is>
      </c>
      <c r="E110" s="8" t="n">
        <v>62369</v>
      </c>
      <c r="F110" s="8" t="n">
        <v>24948</v>
      </c>
      <c r="G110" s="8" t="n">
        <v>9654</v>
      </c>
      <c r="H110" s="8" t="n">
        <v>2604</v>
      </c>
      <c r="I110" s="8" t="n">
        <v>0</v>
      </c>
      <c r="J110" s="4" t="inlineStr">
        <is>
          <t>111769719183</t>
        </is>
      </c>
      <c r="K110" s="4" t="inlineStr">
        <is>
          <t>VWMQP7253G</t>
        </is>
      </c>
      <c r="L110" s="4" t="inlineStr">
        <is>
          <t>138296635882</t>
        </is>
      </c>
      <c r="M110" s="4" t="n">
        <v>30</v>
      </c>
      <c r="N110" s="4" t="n">
        <v>0</v>
      </c>
      <c r="O110" s="4">
        <f>IFERROR(INDEX('01_Customer_Tracker'!$B:$B,MATCH(B110,'01_Customer_Tracker'!$A:$A,0)),"")</f>
        <v/>
      </c>
    </row>
    <row r="111">
      <c r="A111" s="4" t="inlineStr">
        <is>
          <t>E110</t>
        </is>
      </c>
      <c r="B111" s="4" t="inlineStr">
        <is>
          <t>C027</t>
        </is>
      </c>
      <c r="C111" s="4" t="inlineStr">
        <is>
          <t>Ishaan Reddy</t>
        </is>
      </c>
      <c r="D111" s="4" t="inlineStr">
        <is>
          <t>Operations</t>
        </is>
      </c>
      <c r="E111" s="8" t="n">
        <v>21240</v>
      </c>
      <c r="F111" s="8" t="n">
        <v>8496</v>
      </c>
      <c r="G111" s="8" t="n">
        <v>3355</v>
      </c>
      <c r="H111" s="8" t="n">
        <v>237</v>
      </c>
      <c r="I111" s="8" t="n">
        <v>0</v>
      </c>
      <c r="J111" s="4" t="inlineStr">
        <is>
          <t>INVALID00</t>
        </is>
      </c>
      <c r="K111" s="4" t="inlineStr">
        <is>
          <t>VPYNA3732Y</t>
        </is>
      </c>
      <c r="L111" s="4" t="inlineStr">
        <is>
          <t>956735911071</t>
        </is>
      </c>
      <c r="M111" s="4" t="n">
        <v>27</v>
      </c>
      <c r="N111" s="4" t="n">
        <v>0</v>
      </c>
      <c r="O111" s="4">
        <f>IFERROR(INDEX('01_Customer_Tracker'!$B:$B,MATCH(B111,'01_Customer_Tracker'!$A:$A,0)),"")</f>
        <v/>
      </c>
    </row>
    <row r="112">
      <c r="A112" s="4" t="inlineStr">
        <is>
          <t>E111</t>
        </is>
      </c>
      <c r="B112" s="4" t="inlineStr">
        <is>
          <t>C004</t>
        </is>
      </c>
      <c r="C112" s="4" t="inlineStr">
        <is>
          <t>Aarav Rao</t>
        </is>
      </c>
      <c r="D112" s="4" t="inlineStr">
        <is>
          <t>Marketing</t>
        </is>
      </c>
      <c r="E112" s="8" t="n">
        <v>29714</v>
      </c>
      <c r="F112" s="8" t="n">
        <v>11886</v>
      </c>
      <c r="G112" s="8" t="n">
        <v>11011</v>
      </c>
      <c r="H112" s="8" t="n">
        <v>552</v>
      </c>
      <c r="I112" s="8" t="n">
        <v>0</v>
      </c>
      <c r="J112" s="4" t="inlineStr">
        <is>
          <t>87374578486</t>
        </is>
      </c>
      <c r="K112" s="4" t="inlineStr">
        <is>
          <t>ZBWBP9443P</t>
        </is>
      </c>
      <c r="L112" s="4" t="inlineStr">
        <is>
          <t>475528248872</t>
        </is>
      </c>
      <c r="M112" s="4" t="n">
        <v>28</v>
      </c>
      <c r="N112" s="4" t="n">
        <v>1</v>
      </c>
      <c r="O112" s="4">
        <f>IFERROR(INDEX('01_Customer_Tracker'!$B:$B,MATCH(B112,'01_Customer_Tracker'!$A:$A,0)),"")</f>
        <v/>
      </c>
    </row>
    <row r="113">
      <c r="A113" s="4" t="inlineStr">
        <is>
          <t>E112</t>
        </is>
      </c>
      <c r="B113" s="4" t="inlineStr">
        <is>
          <t>C049</t>
        </is>
      </c>
      <c r="C113" s="4" t="inlineStr">
        <is>
          <t>Shaurya Rao</t>
        </is>
      </c>
      <c r="D113" s="4" t="inlineStr">
        <is>
          <t>HR</t>
        </is>
      </c>
      <c r="E113" s="8" t="n">
        <v>20626</v>
      </c>
      <c r="F113" s="8" t="n">
        <v>8250</v>
      </c>
      <c r="G113" s="8" t="n">
        <v>8880</v>
      </c>
      <c r="H113" s="8" t="n">
        <v>1204</v>
      </c>
      <c r="I113" s="8" t="n">
        <v>0</v>
      </c>
      <c r="J113" s="4" t="inlineStr">
        <is>
          <t>477743990788</t>
        </is>
      </c>
      <c r="K113" s="4" t="inlineStr">
        <is>
          <t>SNOIY9724D</t>
        </is>
      </c>
      <c r="L113" s="4" t="inlineStr">
        <is>
          <t>432089697969</t>
        </is>
      </c>
      <c r="M113" s="4" t="n">
        <v>29</v>
      </c>
      <c r="N113" s="4" t="n">
        <v>1</v>
      </c>
      <c r="O113" s="4">
        <f>IFERROR(INDEX('01_Customer_Tracker'!$B:$B,MATCH(B113,'01_Customer_Tracker'!$A:$A,0)),"")</f>
        <v/>
      </c>
    </row>
    <row r="114">
      <c r="A114" s="4" t="inlineStr">
        <is>
          <t>E113</t>
        </is>
      </c>
      <c r="B114" s="4" t="inlineStr">
        <is>
          <t>C043</t>
        </is>
      </c>
      <c r="C114" s="4" t="inlineStr">
        <is>
          <t>Ishaan Rao</t>
        </is>
      </c>
      <c r="D114" s="4" t="inlineStr">
        <is>
          <t>Finance</t>
        </is>
      </c>
      <c r="E114" s="8" t="n">
        <v>59483</v>
      </c>
      <c r="F114" s="8" t="n">
        <v>23793</v>
      </c>
      <c r="G114" s="8" t="n">
        <v>11396</v>
      </c>
      <c r="H114" s="8" t="n">
        <v>2479</v>
      </c>
      <c r="I114" s="8" t="n">
        <v>4404</v>
      </c>
      <c r="J114" s="4" t="inlineStr">
        <is>
          <t>860965522083</t>
        </is>
      </c>
      <c r="K114" s="4" t="inlineStr">
        <is>
          <t>RJFWU3175P</t>
        </is>
      </c>
      <c r="L114" s="4" t="inlineStr">
        <is>
          <t>934003439272</t>
        </is>
      </c>
      <c r="M114" s="4" t="n">
        <v>28</v>
      </c>
      <c r="N114" s="4" t="n">
        <v>0</v>
      </c>
      <c r="O114" s="4">
        <f>IFERROR(INDEX('01_Customer_Tracker'!$B:$B,MATCH(B114,'01_Customer_Tracker'!$A:$A,0)),"")</f>
        <v/>
      </c>
    </row>
    <row r="115">
      <c r="A115" s="4" t="inlineStr">
        <is>
          <t>E114</t>
        </is>
      </c>
      <c r="B115" s="4" t="inlineStr">
        <is>
          <t>C047</t>
        </is>
      </c>
      <c r="C115" s="4" t="inlineStr">
        <is>
          <t>Vihaan Desai</t>
        </is>
      </c>
      <c r="D115" s="4" t="inlineStr">
        <is>
          <t>HR</t>
        </is>
      </c>
      <c r="E115" s="8" t="n">
        <v>89048</v>
      </c>
      <c r="F115" s="8" t="n">
        <v>35619</v>
      </c>
      <c r="G115" s="8" t="n">
        <v>7194</v>
      </c>
      <c r="H115" s="8" t="n">
        <v>1072</v>
      </c>
      <c r="I115" s="8" t="n">
        <v>4025</v>
      </c>
      <c r="J115" s="4" t="inlineStr">
        <is>
          <t>346338588271</t>
        </is>
      </c>
      <c r="K115" s="4" t="inlineStr">
        <is>
          <t>RIBKM7789T</t>
        </is>
      </c>
      <c r="L115" s="4" t="inlineStr">
        <is>
          <t>356610160373</t>
        </is>
      </c>
      <c r="M115" s="4" t="n">
        <v>27</v>
      </c>
      <c r="N115" s="4" t="n">
        <v>0</v>
      </c>
      <c r="O115" s="4">
        <f>IFERROR(INDEX('01_Customer_Tracker'!$B:$B,MATCH(B115,'01_Customer_Tracker'!$A:$A,0)),"")</f>
        <v/>
      </c>
    </row>
    <row r="116">
      <c r="A116" s="4" t="inlineStr">
        <is>
          <t>E115</t>
        </is>
      </c>
      <c r="B116" s="4" t="inlineStr">
        <is>
          <t>C041</t>
        </is>
      </c>
      <c r="C116" s="4" t="inlineStr">
        <is>
          <t>Aadhya Rao</t>
        </is>
      </c>
      <c r="D116" s="4" t="inlineStr">
        <is>
          <t>Finance</t>
        </is>
      </c>
      <c r="E116" s="8" t="n">
        <v>38811</v>
      </c>
      <c r="F116" s="8" t="n">
        <v>15524</v>
      </c>
      <c r="G116" s="8" t="n">
        <v>10348</v>
      </c>
      <c r="H116" s="8" t="n">
        <v>109</v>
      </c>
      <c r="I116" s="8" t="n">
        <v>0</v>
      </c>
      <c r="J116" s="4" t="inlineStr">
        <is>
          <t>654286643819</t>
        </is>
      </c>
      <c r="K116" s="4" t="inlineStr">
        <is>
          <t>LEDJX7204M</t>
        </is>
      </c>
      <c r="L116" s="4" t="inlineStr"/>
      <c r="M116" s="4" t="n">
        <v>25</v>
      </c>
      <c r="N116" s="4" t="n">
        <v>0</v>
      </c>
      <c r="O116" s="4">
        <f>IFERROR(INDEX('01_Customer_Tracker'!$B:$B,MATCH(B116,'01_Customer_Tracker'!$A:$A,0)),"")</f>
        <v/>
      </c>
    </row>
    <row r="117">
      <c r="A117" s="4" t="inlineStr">
        <is>
          <t>E116</t>
        </is>
      </c>
      <c r="B117" s="4" t="inlineStr">
        <is>
          <t>C006</t>
        </is>
      </c>
      <c r="C117" s="4" t="inlineStr">
        <is>
          <t>Reyansh Gupta</t>
        </is>
      </c>
      <c r="D117" s="4" t="inlineStr">
        <is>
          <t>Engineering</t>
        </is>
      </c>
      <c r="E117" s="8" t="n">
        <v>55675</v>
      </c>
      <c r="F117" s="8" t="n">
        <v>22270</v>
      </c>
      <c r="G117" s="8" t="n">
        <v>4509</v>
      </c>
      <c r="H117" s="8" t="n">
        <v>2025</v>
      </c>
      <c r="I117" s="8" t="n">
        <v>0</v>
      </c>
      <c r="J117" s="4" t="inlineStr">
        <is>
          <t>420210234274</t>
        </is>
      </c>
      <c r="K117" s="4" t="inlineStr">
        <is>
          <t>DONGH4831A</t>
        </is>
      </c>
      <c r="L117" s="4" t="inlineStr">
        <is>
          <t>652947495881</t>
        </is>
      </c>
      <c r="M117" s="4" t="n">
        <v>26</v>
      </c>
      <c r="N117" s="4" t="n">
        <v>0</v>
      </c>
      <c r="O117" s="4">
        <f>IFERROR(INDEX('01_Customer_Tracker'!$B:$B,MATCH(B117,'01_Customer_Tracker'!$A:$A,0)),"")</f>
        <v/>
      </c>
    </row>
    <row r="118">
      <c r="A118" s="4" t="inlineStr">
        <is>
          <t>E117</t>
        </is>
      </c>
      <c r="B118" s="4" t="inlineStr">
        <is>
          <t>C041</t>
        </is>
      </c>
      <c r="C118" s="4" t="inlineStr">
        <is>
          <t>Kiara Menon</t>
        </is>
      </c>
      <c r="D118" s="4" t="inlineStr">
        <is>
          <t>Engineering</t>
        </is>
      </c>
      <c r="E118" s="8" t="n">
        <v>45998</v>
      </c>
      <c r="F118" s="8" t="n">
        <v>18399</v>
      </c>
      <c r="G118" s="8" t="n">
        <v>1644</v>
      </c>
      <c r="H118" s="8" t="n">
        <v>1663</v>
      </c>
      <c r="I118" s="8" t="n">
        <v>0</v>
      </c>
      <c r="J118" s="4" t="inlineStr">
        <is>
          <t>400131254426</t>
        </is>
      </c>
      <c r="K118" s="4" t="inlineStr">
        <is>
          <t>GTVAJ8621N</t>
        </is>
      </c>
      <c r="L118" s="4" t="inlineStr">
        <is>
          <t>634164033197</t>
        </is>
      </c>
      <c r="M118" s="4" t="n">
        <v>25</v>
      </c>
      <c r="N118" s="4" t="n">
        <v>0</v>
      </c>
      <c r="O118" s="4">
        <f>IFERROR(INDEX('01_Customer_Tracker'!$B:$B,MATCH(B118,'01_Customer_Tracker'!$A:$A,0)),"")</f>
        <v/>
      </c>
    </row>
    <row r="119">
      <c r="A119" s="4" t="inlineStr">
        <is>
          <t>E118</t>
        </is>
      </c>
      <c r="B119" s="4" t="inlineStr">
        <is>
          <t>C023</t>
        </is>
      </c>
      <c r="C119" s="4" t="inlineStr">
        <is>
          <t>Aarav Menon</t>
        </is>
      </c>
      <c r="D119" s="4" t="inlineStr">
        <is>
          <t>Operations</t>
        </is>
      </c>
      <c r="E119" s="8" t="n">
        <v>79071</v>
      </c>
      <c r="F119" s="8" t="n">
        <v>31628</v>
      </c>
      <c r="G119" s="8" t="n">
        <v>5923</v>
      </c>
      <c r="H119" s="8" t="n">
        <v>4667</v>
      </c>
      <c r="I119" s="8" t="n">
        <v>0</v>
      </c>
      <c r="J119" s="4" t="inlineStr">
        <is>
          <t>942980208299</t>
        </is>
      </c>
      <c r="K119" s="4" t="inlineStr">
        <is>
          <t>CIAZP3223T</t>
        </is>
      </c>
      <c r="L119" s="4" t="inlineStr">
        <is>
          <t>356326829784</t>
        </is>
      </c>
      <c r="M119" s="4" t="n">
        <v>29</v>
      </c>
      <c r="N119" s="4" t="n">
        <v>0</v>
      </c>
      <c r="O119" s="4">
        <f>IFERROR(INDEX('01_Customer_Tracker'!$B:$B,MATCH(B119,'01_Customer_Tracker'!$A:$A,0)),"")</f>
        <v/>
      </c>
    </row>
    <row r="120">
      <c r="A120" s="4" t="inlineStr">
        <is>
          <t>E119</t>
        </is>
      </c>
      <c r="B120" s="4" t="inlineStr">
        <is>
          <t>C022</t>
        </is>
      </c>
      <c r="C120" s="4" t="inlineStr">
        <is>
          <t>Pooja Nair</t>
        </is>
      </c>
      <c r="D120" s="4" t="inlineStr">
        <is>
          <t>Marketing</t>
        </is>
      </c>
      <c r="E120" s="8" t="n">
        <v>88732</v>
      </c>
      <c r="F120" s="8" t="n">
        <v>35493</v>
      </c>
      <c r="G120" s="8" t="n">
        <v>11800</v>
      </c>
      <c r="H120" s="8" t="n">
        <v>5232</v>
      </c>
      <c r="I120" s="8" t="n">
        <v>0</v>
      </c>
      <c r="J120" s="4" t="inlineStr">
        <is>
          <t>551517909701</t>
        </is>
      </c>
      <c r="K120" s="4" t="inlineStr">
        <is>
          <t>BNDUI1826Z</t>
        </is>
      </c>
      <c r="L120" s="4" t="inlineStr">
        <is>
          <t>114607410708</t>
        </is>
      </c>
      <c r="M120" s="4" t="n">
        <v>24</v>
      </c>
      <c r="N120" s="4" t="n">
        <v>0</v>
      </c>
      <c r="O120" s="4">
        <f>IFERROR(INDEX('01_Customer_Tracker'!$B:$B,MATCH(B120,'01_Customer_Tracker'!$A:$A,0)),"")</f>
        <v/>
      </c>
    </row>
    <row r="121">
      <c r="A121" s="4" t="inlineStr">
        <is>
          <t>E120</t>
        </is>
      </c>
      <c r="B121" s="4" t="inlineStr">
        <is>
          <t>C048</t>
        </is>
      </c>
      <c r="C121" s="4" t="inlineStr">
        <is>
          <t>Navya Joshi</t>
        </is>
      </c>
      <c r="D121" s="4" t="inlineStr">
        <is>
          <t>Operations</t>
        </is>
      </c>
      <c r="E121" s="8" t="n">
        <v>15236</v>
      </c>
      <c r="F121" s="8" t="n">
        <v>6094</v>
      </c>
      <c r="G121" s="8" t="n">
        <v>6537</v>
      </c>
      <c r="H121" s="8" t="n">
        <v>184</v>
      </c>
      <c r="I121" s="8" t="n">
        <v>0</v>
      </c>
      <c r="J121" s="4" t="inlineStr">
        <is>
          <t>139612099024</t>
        </is>
      </c>
      <c r="K121" s="4" t="inlineStr">
        <is>
          <t>ZFBSY9867G</t>
        </is>
      </c>
      <c r="L121" s="4" t="inlineStr">
        <is>
          <t>553657515907</t>
        </is>
      </c>
      <c r="M121" s="4" t="n">
        <v>24</v>
      </c>
      <c r="N121" s="4" t="n">
        <v>0</v>
      </c>
      <c r="O121" s="4">
        <f>IFERROR(INDEX('01_Customer_Tracker'!$B:$B,MATCH(B121,'01_Customer_Tracker'!$A:$A,0)),"")</f>
        <v/>
      </c>
    </row>
    <row r="122">
      <c r="A122" s="4" t="inlineStr">
        <is>
          <t>E121</t>
        </is>
      </c>
      <c r="B122" s="4" t="inlineStr">
        <is>
          <t>C041</t>
        </is>
      </c>
      <c r="C122" s="4" t="inlineStr">
        <is>
          <t>Vihaan Sharma</t>
        </is>
      </c>
      <c r="D122" s="4" t="inlineStr">
        <is>
          <t>Marketing</t>
        </is>
      </c>
      <c r="E122" s="8" t="n">
        <v>69775</v>
      </c>
      <c r="F122" s="8" t="n">
        <v>27910</v>
      </c>
      <c r="G122" s="8" t="n">
        <v>6775</v>
      </c>
      <c r="H122" s="8" t="n">
        <v>5509</v>
      </c>
      <c r="I122" s="8" t="n">
        <v>5826</v>
      </c>
      <c r="J122" s="4" t="inlineStr">
        <is>
          <t>509499787306</t>
        </is>
      </c>
      <c r="K122" s="4" t="inlineStr">
        <is>
          <t>SWELD3515K</t>
        </is>
      </c>
      <c r="L122" s="4" t="inlineStr">
        <is>
          <t>450900521984</t>
        </is>
      </c>
      <c r="M122" s="4" t="n">
        <v>29</v>
      </c>
      <c r="N122" s="4" t="n">
        <v>0</v>
      </c>
      <c r="O122" s="4">
        <f>IFERROR(INDEX('01_Customer_Tracker'!$B:$B,MATCH(B122,'01_Customer_Tracker'!$A:$A,0)),"")</f>
        <v/>
      </c>
    </row>
    <row r="123">
      <c r="A123" s="4" t="inlineStr">
        <is>
          <t>E122</t>
        </is>
      </c>
      <c r="B123" s="4" t="inlineStr">
        <is>
          <t>C050</t>
        </is>
      </c>
      <c r="C123" s="4" t="inlineStr">
        <is>
          <t>Varun Chauhan</t>
        </is>
      </c>
      <c r="D123" s="4" t="inlineStr">
        <is>
          <t>Sales</t>
        </is>
      </c>
      <c r="E123" s="8" t="n">
        <v>28986</v>
      </c>
      <c r="F123" s="8" t="n">
        <v>11594</v>
      </c>
      <c r="G123" s="8" t="n">
        <v>8921</v>
      </c>
      <c r="H123" s="8" t="n">
        <v>698</v>
      </c>
      <c r="I123" s="8" t="n">
        <v>2419</v>
      </c>
      <c r="J123" s="4" t="inlineStr">
        <is>
          <t>208181596278</t>
        </is>
      </c>
      <c r="K123" s="4" t="inlineStr">
        <is>
          <t>KSRME5562R</t>
        </is>
      </c>
      <c r="L123" s="4" t="inlineStr">
        <is>
          <t>337127885370</t>
        </is>
      </c>
      <c r="M123" s="4" t="n">
        <v>27</v>
      </c>
      <c r="N123" s="4" t="n">
        <v>0</v>
      </c>
      <c r="O123" s="4">
        <f>IFERROR(INDEX('01_Customer_Tracker'!$B:$B,MATCH(B123,'01_Customer_Tracker'!$A:$A,0)),"")</f>
        <v/>
      </c>
    </row>
    <row r="124">
      <c r="A124" s="4" t="inlineStr">
        <is>
          <t>E123</t>
        </is>
      </c>
      <c r="B124" s="4" t="inlineStr">
        <is>
          <t>C006</t>
        </is>
      </c>
      <c r="C124" s="4" t="inlineStr">
        <is>
          <t>Kiara Patel</t>
        </is>
      </c>
      <c r="D124" s="4" t="inlineStr">
        <is>
          <t>Support</t>
        </is>
      </c>
      <c r="E124" s="8" t="n">
        <v>49518</v>
      </c>
      <c r="F124" s="8" t="n">
        <v>19807</v>
      </c>
      <c r="G124" s="8" t="n">
        <v>6398</v>
      </c>
      <c r="H124" s="8" t="n">
        <v>2586</v>
      </c>
      <c r="I124" s="8" t="n">
        <v>0</v>
      </c>
      <c r="J124" s="4" t="inlineStr">
        <is>
          <t>576231119384</t>
        </is>
      </c>
      <c r="K124" s="4" t="inlineStr">
        <is>
          <t>JGFBX4862I</t>
        </is>
      </c>
      <c r="L124" s="4" t="inlineStr">
        <is>
          <t>135081439783</t>
        </is>
      </c>
      <c r="M124" s="4" t="n">
        <v>27</v>
      </c>
      <c r="N124" s="4" t="n">
        <v>1</v>
      </c>
      <c r="O124" s="4">
        <f>IFERROR(INDEX('01_Customer_Tracker'!$B:$B,MATCH(B124,'01_Customer_Tracker'!$A:$A,0)),"")</f>
        <v/>
      </c>
    </row>
    <row r="125">
      <c r="A125" s="4" t="inlineStr">
        <is>
          <t>E124</t>
        </is>
      </c>
      <c r="B125" s="4" t="inlineStr">
        <is>
          <t>C043</t>
        </is>
      </c>
      <c r="C125" s="4" t="inlineStr">
        <is>
          <t>Rahul Iyer</t>
        </is>
      </c>
      <c r="D125" s="4" t="inlineStr">
        <is>
          <t>HR</t>
        </is>
      </c>
      <c r="E125" s="8" t="n">
        <v>71033</v>
      </c>
      <c r="F125" s="8" t="n">
        <v>28413</v>
      </c>
      <c r="G125" s="8" t="n">
        <v>5111</v>
      </c>
      <c r="H125" s="8" t="n">
        <v>742</v>
      </c>
      <c r="I125" s="8" t="n">
        <v>0</v>
      </c>
      <c r="J125" s="4" t="inlineStr">
        <is>
          <t>INVALID00</t>
        </is>
      </c>
      <c r="K125" s="4" t="inlineStr">
        <is>
          <t>FPDSK7421R</t>
        </is>
      </c>
      <c r="L125" s="4" t="inlineStr">
        <is>
          <t>407384435981</t>
        </is>
      </c>
      <c r="M125" s="4" t="n">
        <v>30</v>
      </c>
      <c r="N125" s="4" t="n">
        <v>0</v>
      </c>
      <c r="O125" s="4">
        <f>IFERROR(INDEX('01_Customer_Tracker'!$B:$B,MATCH(B125,'01_Customer_Tracker'!$A:$A,0)),"")</f>
        <v/>
      </c>
    </row>
    <row r="126">
      <c r="A126" s="4" t="inlineStr">
        <is>
          <t>E125</t>
        </is>
      </c>
      <c r="B126" s="4" t="inlineStr">
        <is>
          <t>C003</t>
        </is>
      </c>
      <c r="C126" s="4" t="inlineStr">
        <is>
          <t>Kabir Pillai</t>
        </is>
      </c>
      <c r="D126" s="4" t="inlineStr">
        <is>
          <t>Finance</t>
        </is>
      </c>
      <c r="E126" s="8" t="n">
        <v>73644</v>
      </c>
      <c r="F126" s="8" t="n">
        <v>29458</v>
      </c>
      <c r="G126" s="8" t="n">
        <v>3368</v>
      </c>
      <c r="H126" s="8" t="n">
        <v>2647</v>
      </c>
      <c r="I126" s="8" t="n">
        <v>3678</v>
      </c>
      <c r="J126" s="4" t="inlineStr">
        <is>
          <t>928391718428</t>
        </is>
      </c>
      <c r="K126" s="4" t="inlineStr">
        <is>
          <t>PGGBY1974T</t>
        </is>
      </c>
      <c r="L126" s="4" t="inlineStr">
        <is>
          <t>346515551745</t>
        </is>
      </c>
      <c r="M126" s="4" t="n">
        <v>25</v>
      </c>
      <c r="N126" s="4" t="n">
        <v>1</v>
      </c>
      <c r="O126" s="4">
        <f>IFERROR(INDEX('01_Customer_Tracker'!$B:$B,MATCH(B126,'01_Customer_Tracker'!$A:$A,0)),"")</f>
        <v/>
      </c>
    </row>
    <row r="127">
      <c r="A127" s="4" t="inlineStr">
        <is>
          <t>E126</t>
        </is>
      </c>
      <c r="B127" s="4" t="inlineStr">
        <is>
          <t>C028</t>
        </is>
      </c>
      <c r="C127" s="4" t="inlineStr">
        <is>
          <t>Diya Nair</t>
        </is>
      </c>
      <c r="D127" s="4" t="inlineStr">
        <is>
          <t>Sales</t>
        </is>
      </c>
      <c r="E127" s="8" t="n">
        <v>83433</v>
      </c>
      <c r="F127" s="8" t="n">
        <v>33373</v>
      </c>
      <c r="G127" s="8" t="n">
        <v>5475</v>
      </c>
      <c r="H127" s="8" t="n">
        <v>2791</v>
      </c>
      <c r="I127" s="8" t="n">
        <v>2311</v>
      </c>
      <c r="J127" s="4" t="inlineStr">
        <is>
          <t>334644644695</t>
        </is>
      </c>
      <c r="K127" s="4" t="inlineStr">
        <is>
          <t>ICPAF2818H</t>
        </is>
      </c>
      <c r="L127" s="4" t="inlineStr">
        <is>
          <t>991728788995</t>
        </is>
      </c>
      <c r="M127" s="4" t="n">
        <v>29</v>
      </c>
      <c r="N127" s="4" t="n">
        <v>0</v>
      </c>
      <c r="O127" s="4">
        <f>IFERROR(INDEX('01_Customer_Tracker'!$B:$B,MATCH(B127,'01_Customer_Tracker'!$A:$A,0)),"")</f>
        <v/>
      </c>
    </row>
    <row r="128">
      <c r="A128" s="4" t="inlineStr">
        <is>
          <t>E127</t>
        </is>
      </c>
      <c r="B128" s="4" t="inlineStr">
        <is>
          <t>C004</t>
        </is>
      </c>
      <c r="C128" s="4" t="inlineStr">
        <is>
          <t>Vivaan Joshi</t>
        </is>
      </c>
      <c r="D128" s="4" t="inlineStr">
        <is>
          <t>Support</t>
        </is>
      </c>
      <c r="E128" s="8" t="n">
        <v>54886</v>
      </c>
      <c r="F128" s="8" t="n">
        <v>21954</v>
      </c>
      <c r="G128" s="8" t="n">
        <v>11299</v>
      </c>
      <c r="H128" s="8" t="n">
        <v>1381</v>
      </c>
      <c r="I128" s="8" t="n">
        <v>0</v>
      </c>
      <c r="J128" s="4" t="inlineStr">
        <is>
          <t>767109121052</t>
        </is>
      </c>
      <c r="K128" s="4" t="inlineStr">
        <is>
          <t>TVMXE4908D</t>
        </is>
      </c>
      <c r="L128" s="4" t="inlineStr">
        <is>
          <t>825758855915</t>
        </is>
      </c>
      <c r="M128" s="4" t="n">
        <v>0</v>
      </c>
      <c r="N128" s="4" t="n">
        <v>0</v>
      </c>
      <c r="O128" s="4">
        <f>IFERROR(INDEX('01_Customer_Tracker'!$B:$B,MATCH(B128,'01_Customer_Tracker'!$A:$A,0)),"")</f>
        <v/>
      </c>
    </row>
    <row r="129">
      <c r="A129" s="4" t="inlineStr">
        <is>
          <t>E128</t>
        </is>
      </c>
      <c r="B129" s="4" t="inlineStr">
        <is>
          <t>C008</t>
        </is>
      </c>
      <c r="C129" s="4" t="inlineStr">
        <is>
          <t>Aditya Kulkarni</t>
        </is>
      </c>
      <c r="D129" s="4" t="inlineStr">
        <is>
          <t>Finance</t>
        </is>
      </c>
      <c r="E129" s="8" t="n">
        <v>22075</v>
      </c>
      <c r="F129" s="8" t="n">
        <v>8830</v>
      </c>
      <c r="G129" s="8" t="n">
        <v>11234</v>
      </c>
      <c r="H129" s="8" t="n">
        <v>1755</v>
      </c>
      <c r="I129" s="8" t="n">
        <v>0</v>
      </c>
      <c r="J129" s="4" t="inlineStr">
        <is>
          <t>102338196270</t>
        </is>
      </c>
      <c r="K129" s="4" t="inlineStr">
        <is>
          <t>HRDAR7930T</t>
        </is>
      </c>
      <c r="L129" s="4" t="inlineStr">
        <is>
          <t>642169227781</t>
        </is>
      </c>
      <c r="M129" s="4" t="n">
        <v>29</v>
      </c>
      <c r="N129" s="4" t="n">
        <v>0</v>
      </c>
      <c r="O129" s="4">
        <f>IFERROR(INDEX('01_Customer_Tracker'!$B:$B,MATCH(B129,'01_Customer_Tracker'!$A:$A,0)),"")</f>
        <v/>
      </c>
    </row>
    <row r="130">
      <c r="A130" s="4" t="inlineStr">
        <is>
          <t>E129</t>
        </is>
      </c>
      <c r="B130" s="4" t="inlineStr">
        <is>
          <t>C043</t>
        </is>
      </c>
      <c r="C130" s="4" t="inlineStr">
        <is>
          <t>Aadhya Verma</t>
        </is>
      </c>
      <c r="D130" s="4" t="inlineStr">
        <is>
          <t>Support</t>
        </is>
      </c>
      <c r="E130" s="8" t="n">
        <v>35694</v>
      </c>
      <c r="F130" s="8" t="n">
        <v>14278</v>
      </c>
      <c r="G130" s="8" t="n">
        <v>11777</v>
      </c>
      <c r="H130" s="8" t="n">
        <v>1182</v>
      </c>
      <c r="I130" s="8" t="n">
        <v>3955</v>
      </c>
      <c r="J130" s="4" t="inlineStr">
        <is>
          <t>272561321551</t>
        </is>
      </c>
      <c r="K130" s="4" t="inlineStr">
        <is>
          <t>LZKWL1434W</t>
        </is>
      </c>
      <c r="L130" s="4" t="inlineStr">
        <is>
          <t>343306873474</t>
        </is>
      </c>
      <c r="M130" s="4" t="n">
        <v>30</v>
      </c>
      <c r="N130" s="4" t="n">
        <v>0</v>
      </c>
      <c r="O130" s="4">
        <f>IFERROR(INDEX('01_Customer_Tracker'!$B:$B,MATCH(B130,'01_Customer_Tracker'!$A:$A,0)),"")</f>
        <v/>
      </c>
    </row>
    <row r="131">
      <c r="A131" s="4" t="inlineStr">
        <is>
          <t>E130</t>
        </is>
      </c>
      <c r="B131" s="4" t="inlineStr">
        <is>
          <t>C012</t>
        </is>
      </c>
      <c r="C131" s="4" t="inlineStr">
        <is>
          <t>Karan Menon</t>
        </is>
      </c>
      <c r="D131" s="4" t="inlineStr">
        <is>
          <t>Operations</t>
        </is>
      </c>
      <c r="E131" s="8" t="n">
        <v>70529</v>
      </c>
      <c r="F131" s="8" t="n">
        <v>28212</v>
      </c>
      <c r="G131" s="8" t="n">
        <v>6776</v>
      </c>
      <c r="H131" s="8" t="n">
        <v>293</v>
      </c>
      <c r="I131" s="8" t="n">
        <v>2506</v>
      </c>
      <c r="J131" s="4" t="inlineStr">
        <is>
          <t>507652531547</t>
        </is>
      </c>
      <c r="K131" s="4" t="inlineStr">
        <is>
          <t>BDTJP6091O</t>
        </is>
      </c>
      <c r="L131" s="4" t="inlineStr">
        <is>
          <t>841521124944</t>
        </is>
      </c>
      <c r="M131" s="4" t="n">
        <v>26</v>
      </c>
      <c r="N131" s="4" t="n">
        <v>0</v>
      </c>
      <c r="O131" s="4">
        <f>IFERROR(INDEX('01_Customer_Tracker'!$B:$B,MATCH(B131,'01_Customer_Tracker'!$A:$A,0)),"")</f>
        <v/>
      </c>
    </row>
    <row r="132">
      <c r="A132" s="4" t="inlineStr">
        <is>
          <t>E131</t>
        </is>
      </c>
      <c r="B132" s="4" t="inlineStr">
        <is>
          <t>C013</t>
        </is>
      </c>
      <c r="C132" s="4" t="inlineStr">
        <is>
          <t>Shaurya Chauhan</t>
        </is>
      </c>
      <c r="D132" s="4" t="inlineStr">
        <is>
          <t>Engineering</t>
        </is>
      </c>
      <c r="E132" s="8" t="n">
        <v>73854</v>
      </c>
      <c r="F132" s="8" t="n">
        <v>29542</v>
      </c>
      <c r="G132" s="8" t="n">
        <v>6716</v>
      </c>
      <c r="H132" s="8" t="n">
        <v>5716</v>
      </c>
      <c r="I132" s="8" t="n">
        <v>0</v>
      </c>
      <c r="J132" s="4" t="inlineStr">
        <is>
          <t>150682886592</t>
        </is>
      </c>
      <c r="K132" s="4" t="inlineStr">
        <is>
          <t>YNOEF8363H</t>
        </is>
      </c>
      <c r="L132" s="4" t="inlineStr">
        <is>
          <t>337104382920</t>
        </is>
      </c>
      <c r="M132" s="4" t="n">
        <v>28</v>
      </c>
      <c r="N132" s="4" t="n">
        <v>0</v>
      </c>
      <c r="O132" s="4">
        <f>IFERROR(INDEX('01_Customer_Tracker'!$B:$B,MATCH(B132,'01_Customer_Tracker'!$A:$A,0)),"")</f>
        <v/>
      </c>
    </row>
    <row r="133">
      <c r="A133" s="4" t="inlineStr">
        <is>
          <t>E132</t>
        </is>
      </c>
      <c r="B133" s="4" t="inlineStr">
        <is>
          <t>C003</t>
        </is>
      </c>
      <c r="C133" s="4" t="inlineStr">
        <is>
          <t>Siddharth Gupta</t>
        </is>
      </c>
      <c r="D133" s="4" t="inlineStr">
        <is>
          <t>Operations</t>
        </is>
      </c>
      <c r="E133" s="8" t="n">
        <v>57289</v>
      </c>
      <c r="F133" s="8" t="n">
        <v>22916</v>
      </c>
      <c r="G133" s="8" t="n">
        <v>5524</v>
      </c>
      <c r="H133" s="8" t="n">
        <v>3304</v>
      </c>
      <c r="I133" s="8" t="n">
        <v>2021</v>
      </c>
      <c r="J133" s="4" t="inlineStr">
        <is>
          <t>817742203307</t>
        </is>
      </c>
      <c r="K133" s="4" t="inlineStr">
        <is>
          <t>PABNN3653G</t>
        </is>
      </c>
      <c r="L133" s="4" t="inlineStr">
        <is>
          <t>696632006382</t>
        </is>
      </c>
      <c r="M133" s="4" t="n">
        <v>26</v>
      </c>
      <c r="N133" s="4" t="n">
        <v>0</v>
      </c>
      <c r="O133" s="4">
        <f>IFERROR(INDEX('01_Customer_Tracker'!$B:$B,MATCH(B133,'01_Customer_Tracker'!$A:$A,0)),"")</f>
        <v/>
      </c>
    </row>
    <row r="134">
      <c r="A134" s="4" t="inlineStr">
        <is>
          <t>E133</t>
        </is>
      </c>
      <c r="B134" s="4" t="inlineStr">
        <is>
          <t>C050</t>
        </is>
      </c>
      <c r="C134" s="4" t="inlineStr">
        <is>
          <t>Arjun Nair</t>
        </is>
      </c>
      <c r="D134" s="4" t="inlineStr">
        <is>
          <t>Marketing</t>
        </is>
      </c>
      <c r="E134" s="8" t="n">
        <v>34405</v>
      </c>
      <c r="F134" s="8" t="n">
        <v>13762</v>
      </c>
      <c r="G134" s="8" t="n">
        <v>3452</v>
      </c>
      <c r="H134" s="8" t="n">
        <v>717</v>
      </c>
      <c r="I134" s="8" t="n">
        <v>0</v>
      </c>
      <c r="J134" s="4" t="inlineStr"/>
      <c r="K134" s="4" t="inlineStr">
        <is>
          <t>IMLME7415C</t>
        </is>
      </c>
      <c r="L134" s="4" t="inlineStr">
        <is>
          <t>999788803221</t>
        </is>
      </c>
      <c r="M134" s="4" t="n">
        <v>29</v>
      </c>
      <c r="N134" s="4" t="n">
        <v>0</v>
      </c>
      <c r="O134" s="4">
        <f>IFERROR(INDEX('01_Customer_Tracker'!$B:$B,MATCH(B134,'01_Customer_Tracker'!$A:$A,0)),"")</f>
        <v/>
      </c>
    </row>
    <row r="135">
      <c r="A135" s="4" t="inlineStr">
        <is>
          <t>E134</t>
        </is>
      </c>
      <c r="B135" s="4" t="inlineStr">
        <is>
          <t>C041</t>
        </is>
      </c>
      <c r="C135" s="4" t="inlineStr">
        <is>
          <t>Navya Nair</t>
        </is>
      </c>
      <c r="D135" s="4" t="inlineStr">
        <is>
          <t>Finance</t>
        </is>
      </c>
      <c r="E135" s="8" t="n">
        <v>72815</v>
      </c>
      <c r="F135" s="8" t="n">
        <v>29126</v>
      </c>
      <c r="G135" s="8" t="n">
        <v>11184</v>
      </c>
      <c r="H135" s="8" t="n">
        <v>5364</v>
      </c>
      <c r="I135" s="8" t="n">
        <v>526</v>
      </c>
      <c r="J135" s="4" t="inlineStr">
        <is>
          <t>930335865846</t>
        </is>
      </c>
      <c r="K135" s="4" t="inlineStr">
        <is>
          <t>RYIII4196R</t>
        </is>
      </c>
      <c r="L135" s="4" t="inlineStr">
        <is>
          <t>474545512060</t>
        </is>
      </c>
      <c r="M135" s="4" t="n">
        <v>27</v>
      </c>
      <c r="N135" s="4" t="n">
        <v>1</v>
      </c>
      <c r="O135" s="4">
        <f>IFERROR(INDEX('01_Customer_Tracker'!$B:$B,MATCH(B135,'01_Customer_Tracker'!$A:$A,0)),"")</f>
        <v/>
      </c>
    </row>
    <row r="136">
      <c r="A136" s="4" t="inlineStr">
        <is>
          <t>E135</t>
        </is>
      </c>
      <c r="B136" s="4" t="inlineStr">
        <is>
          <t>C037</t>
        </is>
      </c>
      <c r="C136" s="4" t="inlineStr">
        <is>
          <t>Karan Agarwal</t>
        </is>
      </c>
      <c r="D136" s="4" t="inlineStr">
        <is>
          <t>Sales</t>
        </is>
      </c>
      <c r="E136" s="8" t="n">
        <v>50822</v>
      </c>
      <c r="F136" s="8" t="n">
        <v>20329</v>
      </c>
      <c r="G136" s="8" t="n">
        <v>8905</v>
      </c>
      <c r="H136" s="8" t="n">
        <v>2489</v>
      </c>
      <c r="I136" s="8" t="n">
        <v>402</v>
      </c>
      <c r="J136" s="4" t="inlineStr">
        <is>
          <t>657193167850</t>
        </is>
      </c>
      <c r="K136" s="4" t="inlineStr">
        <is>
          <t>CIPRL1846U</t>
        </is>
      </c>
      <c r="L136" s="4" t="inlineStr">
        <is>
          <t>773663020203</t>
        </is>
      </c>
      <c r="M136" s="4" t="n">
        <v>30</v>
      </c>
      <c r="N136" s="4" t="n">
        <v>0</v>
      </c>
      <c r="O136" s="4">
        <f>IFERROR(INDEX('01_Customer_Tracker'!$B:$B,MATCH(B136,'01_Customer_Tracker'!$A:$A,0)),"")</f>
        <v/>
      </c>
    </row>
    <row r="137">
      <c r="A137" s="4" t="inlineStr">
        <is>
          <t>E136</t>
        </is>
      </c>
      <c r="B137" s="4" t="inlineStr">
        <is>
          <t>C023</t>
        </is>
      </c>
      <c r="C137" s="4" t="inlineStr">
        <is>
          <t>Riya Gupta</t>
        </is>
      </c>
      <c r="D137" s="4" t="inlineStr">
        <is>
          <t>Support</t>
        </is>
      </c>
      <c r="E137" s="8" t="n">
        <v>39012</v>
      </c>
      <c r="F137" s="8" t="n">
        <v>15605</v>
      </c>
      <c r="G137" s="8" t="n">
        <v>11356</v>
      </c>
      <c r="H137" s="8" t="n">
        <v>1149</v>
      </c>
      <c r="I137" s="8" t="n">
        <v>0</v>
      </c>
      <c r="J137" s="4" t="inlineStr">
        <is>
          <t>303899800652</t>
        </is>
      </c>
      <c r="K137" s="4" t="inlineStr">
        <is>
          <t>VBMJO3290R</t>
        </is>
      </c>
      <c r="L137" s="4" t="inlineStr">
        <is>
          <t>277263588357</t>
        </is>
      </c>
      <c r="M137" s="4" t="n">
        <v>26</v>
      </c>
      <c r="N137" s="4" t="n">
        <v>0</v>
      </c>
      <c r="O137" s="4">
        <f>IFERROR(INDEX('01_Customer_Tracker'!$B:$B,MATCH(B137,'01_Customer_Tracker'!$A:$A,0)),"")</f>
        <v/>
      </c>
    </row>
    <row r="138">
      <c r="A138" s="4" t="inlineStr">
        <is>
          <t>E137</t>
        </is>
      </c>
      <c r="B138" s="4" t="inlineStr">
        <is>
          <t>C006</t>
        </is>
      </c>
      <c r="C138" s="4" t="inlineStr">
        <is>
          <t>Saanvi Bhatia</t>
        </is>
      </c>
      <c r="D138" s="4" t="inlineStr">
        <is>
          <t>Operations</t>
        </is>
      </c>
      <c r="E138" s="8" t="n">
        <v>44111</v>
      </c>
      <c r="F138" s="8" t="n">
        <v>17644</v>
      </c>
      <c r="G138" s="8" t="n">
        <v>4067</v>
      </c>
      <c r="H138" s="8" t="n">
        <v>1218</v>
      </c>
      <c r="I138" s="8" t="n">
        <v>0</v>
      </c>
      <c r="J138" s="4" t="inlineStr">
        <is>
          <t>774141935434</t>
        </is>
      </c>
      <c r="K138" s="4" t="inlineStr">
        <is>
          <t>AJHPG9694H</t>
        </is>
      </c>
      <c r="L138" s="4" t="inlineStr">
        <is>
          <t>918817818864</t>
        </is>
      </c>
      <c r="M138" s="4" t="n">
        <v>27</v>
      </c>
      <c r="N138" s="4" t="n">
        <v>0</v>
      </c>
      <c r="O138" s="4">
        <f>IFERROR(INDEX('01_Customer_Tracker'!$B:$B,MATCH(B138,'01_Customer_Tracker'!$A:$A,0)),"")</f>
        <v/>
      </c>
    </row>
    <row r="139">
      <c r="A139" s="4" t="inlineStr">
        <is>
          <t>E138</t>
        </is>
      </c>
      <c r="B139" s="4" t="inlineStr">
        <is>
          <t>C021</t>
        </is>
      </c>
      <c r="C139" s="4" t="inlineStr">
        <is>
          <t>Kiara Verma</t>
        </is>
      </c>
      <c r="D139" s="4" t="inlineStr">
        <is>
          <t>HR</t>
        </is>
      </c>
      <c r="E139" s="8" t="n">
        <v>47182</v>
      </c>
      <c r="F139" s="8" t="n">
        <v>18873</v>
      </c>
      <c r="G139" s="8" t="n">
        <v>11898</v>
      </c>
      <c r="H139" s="8" t="n">
        <v>2635</v>
      </c>
      <c r="I139" s="8" t="n">
        <v>0</v>
      </c>
      <c r="J139" s="4" t="inlineStr">
        <is>
          <t>463792528249</t>
        </is>
      </c>
      <c r="K139" s="4" t="inlineStr">
        <is>
          <t>ACLOA2138S</t>
        </is>
      </c>
      <c r="L139" s="4" t="inlineStr">
        <is>
          <t>556909297715</t>
        </is>
      </c>
      <c r="M139" s="4" t="n">
        <v>29</v>
      </c>
      <c r="N139" s="4" t="n">
        <v>0</v>
      </c>
      <c r="O139" s="4">
        <f>IFERROR(INDEX('01_Customer_Tracker'!$B:$B,MATCH(B139,'01_Customer_Tracker'!$A:$A,0)),"")</f>
        <v/>
      </c>
    </row>
    <row r="140">
      <c r="A140" s="4" t="inlineStr">
        <is>
          <t>E139</t>
        </is>
      </c>
      <c r="B140" s="4" t="inlineStr">
        <is>
          <t>C023</t>
        </is>
      </c>
      <c r="C140" s="4" t="inlineStr">
        <is>
          <t>Tanvi Agarwal</t>
        </is>
      </c>
      <c r="D140" s="4" t="inlineStr">
        <is>
          <t>HR</t>
        </is>
      </c>
      <c r="E140" s="8" t="n">
        <v>62171</v>
      </c>
      <c r="F140" s="8" t="n">
        <v>24868</v>
      </c>
      <c r="G140" s="8" t="n">
        <v>11229</v>
      </c>
      <c r="H140" s="8" t="n">
        <v>3045</v>
      </c>
      <c r="I140" s="8" t="n">
        <v>0</v>
      </c>
      <c r="J140" s="4" t="inlineStr">
        <is>
          <t>844030451437</t>
        </is>
      </c>
      <c r="K140" s="4" t="inlineStr">
        <is>
          <t>NWBAC6005S</t>
        </is>
      </c>
      <c r="L140" s="4" t="inlineStr">
        <is>
          <t>874311301702</t>
        </is>
      </c>
      <c r="M140" s="4" t="n">
        <v>25</v>
      </c>
      <c r="N140" s="4" t="n">
        <v>0</v>
      </c>
      <c r="O140" s="4">
        <f>IFERROR(INDEX('01_Customer_Tracker'!$B:$B,MATCH(B140,'01_Customer_Tracker'!$A:$A,0)),"")</f>
        <v/>
      </c>
    </row>
    <row r="141">
      <c r="A141" s="4" t="inlineStr">
        <is>
          <t>E140</t>
        </is>
      </c>
      <c r="B141" s="4" t="inlineStr">
        <is>
          <t>C004</t>
        </is>
      </c>
      <c r="C141" s="4" t="inlineStr">
        <is>
          <t>Riya Mehta</t>
        </is>
      </c>
      <c r="D141" s="4" t="inlineStr">
        <is>
          <t>Engineering</t>
        </is>
      </c>
      <c r="E141" s="8" t="n">
        <v>29107</v>
      </c>
      <c r="F141" s="8" t="n">
        <v>11643</v>
      </c>
      <c r="G141" s="8" t="n">
        <v>10918</v>
      </c>
      <c r="H141" s="8" t="n">
        <v>789</v>
      </c>
      <c r="I141" s="8" t="n">
        <v>0</v>
      </c>
      <c r="J141" s="4" t="inlineStr">
        <is>
          <t>212315949759</t>
        </is>
      </c>
      <c r="K141" s="4" t="inlineStr">
        <is>
          <t>RCMXS7877C</t>
        </is>
      </c>
      <c r="L141" s="4" t="inlineStr">
        <is>
          <t>363080389086</t>
        </is>
      </c>
      <c r="M141" s="4" t="n">
        <v>25</v>
      </c>
      <c r="N141" s="4" t="n">
        <v>0</v>
      </c>
      <c r="O141" s="4">
        <f>IFERROR(INDEX('01_Customer_Tracker'!$B:$B,MATCH(B141,'01_Customer_Tracker'!$A:$A,0)),"")</f>
        <v/>
      </c>
    </row>
    <row r="142">
      <c r="A142" s="4" t="inlineStr">
        <is>
          <t>E141</t>
        </is>
      </c>
      <c r="B142" s="4" t="inlineStr">
        <is>
          <t>C005</t>
        </is>
      </c>
      <c r="C142" s="4" t="inlineStr">
        <is>
          <t>Reyansh Rao</t>
        </is>
      </c>
      <c r="D142" s="4" t="inlineStr">
        <is>
          <t>HR</t>
        </is>
      </c>
      <c r="E142" s="8" t="n">
        <v>60789</v>
      </c>
      <c r="F142" s="8" t="n">
        <v>24316</v>
      </c>
      <c r="G142" s="8" t="n">
        <v>3753</v>
      </c>
      <c r="H142" s="8" t="n">
        <v>1495</v>
      </c>
      <c r="I142" s="8" t="n">
        <v>4164</v>
      </c>
      <c r="J142" s="4" t="inlineStr">
        <is>
          <t>731197048232</t>
        </is>
      </c>
      <c r="K142" s="4" t="inlineStr">
        <is>
          <t>BQBXA9599S</t>
        </is>
      </c>
      <c r="L142" s="4" t="inlineStr">
        <is>
          <t>953986381433</t>
        </is>
      </c>
      <c r="M142" s="4" t="n">
        <v>26</v>
      </c>
      <c r="N142" s="4" t="n">
        <v>0</v>
      </c>
      <c r="O142" s="4">
        <f>IFERROR(INDEX('01_Customer_Tracker'!$B:$B,MATCH(B142,'01_Customer_Tracker'!$A:$A,0)),"")</f>
        <v/>
      </c>
    </row>
    <row r="143">
      <c r="A143" s="4" t="inlineStr">
        <is>
          <t>E142</t>
        </is>
      </c>
      <c r="B143" s="4" t="inlineStr">
        <is>
          <t>C037</t>
        </is>
      </c>
      <c r="C143" s="4" t="inlineStr">
        <is>
          <t>Sneha Iyer</t>
        </is>
      </c>
      <c r="D143" s="4" t="inlineStr">
        <is>
          <t>Finance</t>
        </is>
      </c>
      <c r="E143" s="8" t="n">
        <v>80425</v>
      </c>
      <c r="F143" s="8" t="n">
        <v>32170</v>
      </c>
      <c r="G143" s="8" t="n">
        <v>6079</v>
      </c>
      <c r="H143" s="8" t="n">
        <v>594</v>
      </c>
      <c r="I143" s="8" t="n">
        <v>0</v>
      </c>
      <c r="J143" s="4" t="inlineStr">
        <is>
          <t>436839447569</t>
        </is>
      </c>
      <c r="K143" s="4" t="inlineStr">
        <is>
          <t>IHPQX6559Z</t>
        </is>
      </c>
      <c r="L143" s="4" t="inlineStr">
        <is>
          <t>170868960894</t>
        </is>
      </c>
      <c r="M143" s="4" t="n">
        <v>26</v>
      </c>
      <c r="N143" s="4" t="n">
        <v>1</v>
      </c>
      <c r="O143" s="4">
        <f>IFERROR(INDEX('01_Customer_Tracker'!$B:$B,MATCH(B143,'01_Customer_Tracker'!$A:$A,0)),"")</f>
        <v/>
      </c>
    </row>
    <row r="144">
      <c r="A144" s="4" t="inlineStr">
        <is>
          <t>E143</t>
        </is>
      </c>
      <c r="B144" s="4" t="inlineStr">
        <is>
          <t>C014</t>
        </is>
      </c>
      <c r="C144" s="4" t="inlineStr">
        <is>
          <t>Sneha Singh</t>
        </is>
      </c>
      <c r="D144" s="4" t="inlineStr">
        <is>
          <t>Sales</t>
        </is>
      </c>
      <c r="E144" s="8" t="n">
        <v>36560</v>
      </c>
      <c r="F144" s="8" t="n">
        <v>14624</v>
      </c>
      <c r="G144" s="8" t="n">
        <v>4384</v>
      </c>
      <c r="H144" s="8" t="n">
        <v>510</v>
      </c>
      <c r="I144" s="8" t="n">
        <v>0</v>
      </c>
      <c r="J144" s="4" t="inlineStr">
        <is>
          <t>501325855400</t>
        </is>
      </c>
      <c r="K144" s="4" t="inlineStr">
        <is>
          <t>QXVAY1602A</t>
        </is>
      </c>
      <c r="L144" s="4" t="inlineStr">
        <is>
          <t>172249588363</t>
        </is>
      </c>
      <c r="M144" s="4" t="n">
        <v>26</v>
      </c>
      <c r="N144" s="4" t="n">
        <v>0</v>
      </c>
      <c r="O144" s="4">
        <f>IFERROR(INDEX('01_Customer_Tracker'!$B:$B,MATCH(B144,'01_Customer_Tracker'!$A:$A,0)),"")</f>
        <v/>
      </c>
    </row>
    <row r="145">
      <c r="A145" s="4" t="inlineStr">
        <is>
          <t>E144</t>
        </is>
      </c>
      <c r="B145" s="4" t="inlineStr">
        <is>
          <t>C024</t>
        </is>
      </c>
      <c r="C145" s="4" t="inlineStr">
        <is>
          <t>Myra Chauhan</t>
        </is>
      </c>
      <c r="D145" s="4" t="inlineStr">
        <is>
          <t>Operations</t>
        </is>
      </c>
      <c r="E145" s="8" t="n">
        <v>30671</v>
      </c>
      <c r="F145" s="8" t="n">
        <v>12268</v>
      </c>
      <c r="G145" s="8" t="n">
        <v>2784</v>
      </c>
      <c r="H145" s="8" t="n">
        <v>485</v>
      </c>
      <c r="I145" s="8" t="n">
        <v>0</v>
      </c>
      <c r="J145" s="4" t="inlineStr">
        <is>
          <t>503018307884</t>
        </is>
      </c>
      <c r="K145" s="4" t="inlineStr">
        <is>
          <t>VPEJI8440H</t>
        </is>
      </c>
      <c r="L145" s="4" t="inlineStr">
        <is>
          <t>485553381256</t>
        </is>
      </c>
      <c r="M145" s="4" t="n">
        <v>24</v>
      </c>
      <c r="N145" s="4" t="n">
        <v>0</v>
      </c>
      <c r="O145" s="4">
        <f>IFERROR(INDEX('01_Customer_Tracker'!$B:$B,MATCH(B145,'01_Customer_Tracker'!$A:$A,0)),"")</f>
        <v/>
      </c>
    </row>
    <row r="146">
      <c r="A146" s="4" t="inlineStr">
        <is>
          <t>E145</t>
        </is>
      </c>
      <c r="B146" s="4" t="inlineStr">
        <is>
          <t>C043</t>
        </is>
      </c>
      <c r="C146" s="4" t="inlineStr">
        <is>
          <t>Ishaan Agarwal</t>
        </is>
      </c>
      <c r="D146" s="4" t="inlineStr">
        <is>
          <t>Support</t>
        </is>
      </c>
      <c r="E146" s="8" t="n">
        <v>42717</v>
      </c>
      <c r="F146" s="8" t="n">
        <v>17087</v>
      </c>
      <c r="G146" s="8" t="n">
        <v>7333</v>
      </c>
      <c r="H146" s="8" t="n">
        <v>1939</v>
      </c>
      <c r="I146" s="8" t="n">
        <v>1949</v>
      </c>
      <c r="J146" s="4" t="inlineStr">
        <is>
          <t>78446780841</t>
        </is>
      </c>
      <c r="K146" s="4" t="inlineStr">
        <is>
          <t>ENSYH1071S</t>
        </is>
      </c>
      <c r="L146" s="4" t="inlineStr">
        <is>
          <t>159758451138</t>
        </is>
      </c>
      <c r="M146" s="4" t="n">
        <v>30</v>
      </c>
      <c r="N146" s="4" t="n">
        <v>0</v>
      </c>
      <c r="O146" s="4">
        <f>IFERROR(INDEX('01_Customer_Tracker'!$B:$B,MATCH(B146,'01_Customer_Tracker'!$A:$A,0)),"")</f>
        <v/>
      </c>
    </row>
    <row r="147">
      <c r="A147" s="4" t="inlineStr">
        <is>
          <t>E146</t>
        </is>
      </c>
      <c r="B147" s="4" t="inlineStr">
        <is>
          <t>C024</t>
        </is>
      </c>
      <c r="C147" s="4" t="inlineStr">
        <is>
          <t>Nikhil Verma</t>
        </is>
      </c>
      <c r="D147" s="4" t="inlineStr">
        <is>
          <t>Engineering</t>
        </is>
      </c>
      <c r="E147" s="8" t="n">
        <v>37562</v>
      </c>
      <c r="F147" s="8" t="n">
        <v>15025</v>
      </c>
      <c r="G147" s="8" t="n">
        <v>1749</v>
      </c>
      <c r="H147" s="8" t="n">
        <v>24415</v>
      </c>
      <c r="I147" s="8" t="n">
        <v>0</v>
      </c>
      <c r="J147" s="4" t="inlineStr">
        <is>
          <t>242356454161</t>
        </is>
      </c>
      <c r="K147" s="4" t="inlineStr">
        <is>
          <t>BMOTL3565U</t>
        </is>
      </c>
      <c r="L147" s="4" t="inlineStr">
        <is>
          <t>540008471323</t>
        </is>
      </c>
      <c r="M147" s="4" t="n">
        <v>24</v>
      </c>
      <c r="N147" s="4" t="n">
        <v>0</v>
      </c>
      <c r="O147" s="4">
        <f>IFERROR(INDEX('01_Customer_Tracker'!$B:$B,MATCH(B147,'01_Customer_Tracker'!$A:$A,0)),"")</f>
        <v/>
      </c>
    </row>
    <row r="148">
      <c r="A148" s="4" t="inlineStr">
        <is>
          <t>E147</t>
        </is>
      </c>
      <c r="B148" s="4" t="inlineStr">
        <is>
          <t>C012</t>
        </is>
      </c>
      <c r="C148" s="4" t="inlineStr">
        <is>
          <t>Kabir Mehta</t>
        </is>
      </c>
      <c r="D148" s="4" t="inlineStr">
        <is>
          <t>Sales</t>
        </is>
      </c>
      <c r="E148" s="8" t="n">
        <v>57912</v>
      </c>
      <c r="F148" s="8" t="n">
        <v>23165</v>
      </c>
      <c r="G148" s="8" t="n">
        <v>10222</v>
      </c>
      <c r="H148" s="8" t="n">
        <v>4377</v>
      </c>
      <c r="I148" s="8" t="n">
        <v>0</v>
      </c>
      <c r="J148" s="4" t="inlineStr">
        <is>
          <t>887471475692</t>
        </is>
      </c>
      <c r="K148" s="4" t="inlineStr">
        <is>
          <t>BCRXR7868G</t>
        </is>
      </c>
      <c r="L148" s="4" t="inlineStr">
        <is>
          <t>476717312224</t>
        </is>
      </c>
      <c r="M148" s="4" t="n">
        <v>24</v>
      </c>
      <c r="N148" s="4" t="n">
        <v>0</v>
      </c>
      <c r="O148" s="4">
        <f>IFERROR(INDEX('01_Customer_Tracker'!$B:$B,MATCH(B148,'01_Customer_Tracker'!$A:$A,0)),"")</f>
        <v/>
      </c>
    </row>
    <row r="149">
      <c r="A149" s="4" t="inlineStr">
        <is>
          <t>E148</t>
        </is>
      </c>
      <c r="B149" s="4" t="inlineStr">
        <is>
          <t>C048</t>
        </is>
      </c>
      <c r="C149" s="4" t="inlineStr">
        <is>
          <t>Kiara Nair</t>
        </is>
      </c>
      <c r="D149" s="4" t="inlineStr">
        <is>
          <t>Finance</t>
        </is>
      </c>
      <c r="E149" s="8" t="n">
        <v>47097</v>
      </c>
      <c r="F149" s="8" t="n">
        <v>18839</v>
      </c>
      <c r="G149" s="8" t="n">
        <v>4932</v>
      </c>
      <c r="H149" s="8" t="n">
        <v>2622</v>
      </c>
      <c r="I149" s="8" t="n">
        <v>1832</v>
      </c>
      <c r="J149" s="4" t="inlineStr">
        <is>
          <t>371396774415</t>
        </is>
      </c>
      <c r="K149" s="4" t="inlineStr">
        <is>
          <t>BDUWF6418O</t>
        </is>
      </c>
      <c r="L149" s="4" t="inlineStr">
        <is>
          <t>724473400787</t>
        </is>
      </c>
      <c r="M149" s="4" t="n">
        <v>24</v>
      </c>
      <c r="N149" s="4" t="n">
        <v>0</v>
      </c>
      <c r="O149" s="4">
        <f>IFERROR(INDEX('01_Customer_Tracker'!$B:$B,MATCH(B149,'01_Customer_Tracker'!$A:$A,0)),"")</f>
        <v/>
      </c>
    </row>
    <row r="150">
      <c r="A150" s="4" t="inlineStr">
        <is>
          <t>E149</t>
        </is>
      </c>
      <c r="B150" s="4" t="inlineStr">
        <is>
          <t>C026</t>
        </is>
      </c>
      <c r="C150" s="4" t="inlineStr">
        <is>
          <t>Vihaan Iyer</t>
        </is>
      </c>
      <c r="D150" s="4" t="inlineStr">
        <is>
          <t>Finance</t>
        </is>
      </c>
      <c r="E150" s="8" t="n">
        <v>26295</v>
      </c>
      <c r="F150" s="8" t="n">
        <v>10518</v>
      </c>
      <c r="G150" s="8" t="n">
        <v>7492</v>
      </c>
      <c r="H150" s="8" t="n">
        <v>18</v>
      </c>
      <c r="I150" s="8" t="n">
        <v>1772</v>
      </c>
      <c r="J150" s="4" t="inlineStr">
        <is>
          <t>987314468720</t>
        </is>
      </c>
      <c r="K150" s="4" t="inlineStr">
        <is>
          <t>THBIT1959B</t>
        </is>
      </c>
      <c r="L150" s="4" t="inlineStr">
        <is>
          <t>632919542412</t>
        </is>
      </c>
      <c r="M150" s="4" t="n">
        <v>26</v>
      </c>
      <c r="N150" s="4" t="n">
        <v>0</v>
      </c>
      <c r="O150" s="4">
        <f>IFERROR(INDEX('01_Customer_Tracker'!$B:$B,MATCH(B150,'01_Customer_Tracker'!$A:$A,0)),"")</f>
        <v/>
      </c>
    </row>
    <row r="151">
      <c r="A151" s="4" t="inlineStr">
        <is>
          <t>E150</t>
        </is>
      </c>
      <c r="B151" s="4" t="inlineStr">
        <is>
          <t>C003</t>
        </is>
      </c>
      <c r="C151" s="4" t="inlineStr">
        <is>
          <t>Sneha Chatterjee</t>
        </is>
      </c>
      <c r="D151" s="4" t="inlineStr">
        <is>
          <t>Engineering</t>
        </is>
      </c>
      <c r="E151" s="8" t="n">
        <v>37959</v>
      </c>
      <c r="F151" s="8" t="n">
        <v>15184</v>
      </c>
      <c r="G151" s="8" t="n">
        <v>7749</v>
      </c>
      <c r="H151" s="8" t="n">
        <v>598</v>
      </c>
      <c r="I151" s="8" t="n">
        <v>5947</v>
      </c>
      <c r="J151" s="4" t="inlineStr">
        <is>
          <t>197596364415</t>
        </is>
      </c>
      <c r="K151" s="4" t="inlineStr">
        <is>
          <t>NDKOP6367F</t>
        </is>
      </c>
      <c r="L151" s="4" t="inlineStr">
        <is>
          <t>777765946257</t>
        </is>
      </c>
      <c r="M151" s="4" t="n">
        <v>29</v>
      </c>
      <c r="N151" s="4" t="n">
        <v>0</v>
      </c>
      <c r="O151" s="4">
        <f>IFERROR(INDEX('01_Customer_Tracker'!$B:$B,MATCH(B151,'01_Customer_Tracker'!$A:$A,0)),"")</f>
        <v/>
      </c>
    </row>
    <row r="152">
      <c r="A152" s="4" t="inlineStr">
        <is>
          <t>E151</t>
        </is>
      </c>
      <c r="B152" s="4" t="inlineStr">
        <is>
          <t>C035</t>
        </is>
      </c>
      <c r="C152" s="4" t="inlineStr">
        <is>
          <t>Myra Pillai</t>
        </is>
      </c>
      <c r="D152" s="4" t="inlineStr">
        <is>
          <t>Sales</t>
        </is>
      </c>
      <c r="E152" s="8" t="n">
        <v>33545</v>
      </c>
      <c r="F152" s="8" t="n">
        <v>13418</v>
      </c>
      <c r="G152" s="8" t="n">
        <v>7030</v>
      </c>
      <c r="H152" s="8" t="n">
        <v>1491</v>
      </c>
      <c r="I152" s="8" t="n">
        <v>5235</v>
      </c>
      <c r="J152" s="4" t="inlineStr">
        <is>
          <t>932624925536</t>
        </is>
      </c>
      <c r="K152" s="4" t="inlineStr">
        <is>
          <t>IORXZ5494K</t>
        </is>
      </c>
      <c r="L152" s="4" t="inlineStr">
        <is>
          <t>583693816018</t>
        </is>
      </c>
      <c r="M152" s="4" t="n">
        <v>30</v>
      </c>
      <c r="N152" s="4" t="n">
        <v>1</v>
      </c>
      <c r="O152" s="4">
        <f>IFERROR(INDEX('01_Customer_Tracker'!$B:$B,MATCH(B152,'01_Customer_Tracker'!$A:$A,0)),"")</f>
        <v/>
      </c>
    </row>
    <row r="153">
      <c r="A153" s="4" t="inlineStr">
        <is>
          <t>E152</t>
        </is>
      </c>
      <c r="B153" s="4" t="inlineStr">
        <is>
          <t>C041</t>
        </is>
      </c>
      <c r="C153" s="4" t="inlineStr">
        <is>
          <t>Myra Iyer</t>
        </is>
      </c>
      <c r="D153" s="4" t="inlineStr">
        <is>
          <t>Marketing</t>
        </is>
      </c>
      <c r="E153" s="8" t="n">
        <v>54572</v>
      </c>
      <c r="F153" s="8" t="n">
        <v>21829</v>
      </c>
      <c r="G153" s="8" t="n">
        <v>2938</v>
      </c>
      <c r="H153" s="8" t="n">
        <v>294</v>
      </c>
      <c r="I153" s="8" t="n">
        <v>0</v>
      </c>
      <c r="J153" s="4" t="inlineStr">
        <is>
          <t>132605245123</t>
        </is>
      </c>
      <c r="K153" s="4" t="inlineStr">
        <is>
          <t>CFTTV1872D</t>
        </is>
      </c>
      <c r="L153" s="4" t="inlineStr">
        <is>
          <t>753130873649</t>
        </is>
      </c>
      <c r="M153" s="4" t="n">
        <v>30</v>
      </c>
      <c r="N153" s="4" t="n">
        <v>0</v>
      </c>
      <c r="O153" s="4">
        <f>IFERROR(INDEX('01_Customer_Tracker'!$B:$B,MATCH(B153,'01_Customer_Tracker'!$A:$A,0)),"")</f>
        <v/>
      </c>
    </row>
    <row r="154">
      <c r="A154" s="4" t="inlineStr">
        <is>
          <t>E153</t>
        </is>
      </c>
      <c r="B154" s="4" t="inlineStr">
        <is>
          <t>C014</t>
        </is>
      </c>
      <c r="C154" s="4" t="inlineStr">
        <is>
          <t>Advait Pillai</t>
        </is>
      </c>
      <c r="D154" s="4" t="inlineStr">
        <is>
          <t>HR</t>
        </is>
      </c>
      <c r="E154" s="8" t="n">
        <v>34657</v>
      </c>
      <c r="F154" s="8" t="n">
        <v>13863</v>
      </c>
      <c r="G154" s="8" t="n">
        <v>9452</v>
      </c>
      <c r="H154" s="8" t="n">
        <v>163</v>
      </c>
      <c r="I154" s="8" t="n">
        <v>0</v>
      </c>
      <c r="J154" s="4" t="inlineStr">
        <is>
          <t>590314532317</t>
        </is>
      </c>
      <c r="K154" s="4" t="inlineStr">
        <is>
          <t>VMIXS2714Y</t>
        </is>
      </c>
      <c r="L154" s="4" t="inlineStr">
        <is>
          <t>628769602475</t>
        </is>
      </c>
      <c r="M154" s="4" t="n">
        <v>25</v>
      </c>
      <c r="N154" s="4" t="n">
        <v>0</v>
      </c>
      <c r="O154" s="4">
        <f>IFERROR(INDEX('01_Customer_Tracker'!$B:$B,MATCH(B154,'01_Customer_Tracker'!$A:$A,0)),"")</f>
        <v/>
      </c>
    </row>
    <row r="155">
      <c r="A155" s="4" t="inlineStr">
        <is>
          <t>E154</t>
        </is>
      </c>
      <c r="B155" s="4" t="inlineStr">
        <is>
          <t>C021</t>
        </is>
      </c>
      <c r="C155" s="4" t="inlineStr">
        <is>
          <t>Shaurya Desai</t>
        </is>
      </c>
      <c r="D155" s="4" t="inlineStr">
        <is>
          <t>Support</t>
        </is>
      </c>
      <c r="E155" s="8" t="n">
        <v>43503</v>
      </c>
      <c r="F155" s="8" t="n">
        <v>17401</v>
      </c>
      <c r="G155" s="8" t="n">
        <v>11975</v>
      </c>
      <c r="H155" s="8" t="n">
        <v>1734</v>
      </c>
      <c r="I155" s="8" t="n">
        <v>962</v>
      </c>
      <c r="J155" s="4" t="inlineStr">
        <is>
          <t>544043381077</t>
        </is>
      </c>
      <c r="K155" s="4" t="inlineStr">
        <is>
          <t>IMVOB1441M</t>
        </is>
      </c>
      <c r="L155" s="4" t="inlineStr">
        <is>
          <t>624680435858</t>
        </is>
      </c>
      <c r="M155" s="4" t="n">
        <v>26</v>
      </c>
      <c r="N155" s="4" t="n">
        <v>0</v>
      </c>
      <c r="O155" s="4">
        <f>IFERROR(INDEX('01_Customer_Tracker'!$B:$B,MATCH(B155,'01_Customer_Tracker'!$A:$A,0)),"")</f>
        <v/>
      </c>
    </row>
    <row r="156">
      <c r="A156" s="4" t="inlineStr">
        <is>
          <t>E155</t>
        </is>
      </c>
      <c r="B156" s="4" t="inlineStr">
        <is>
          <t>C005</t>
        </is>
      </c>
      <c r="C156" s="4" t="inlineStr">
        <is>
          <t>Aadhya Desai</t>
        </is>
      </c>
      <c r="D156" s="4" t="inlineStr">
        <is>
          <t>HR</t>
        </is>
      </c>
      <c r="E156" s="8" t="n">
        <v>69016</v>
      </c>
      <c r="F156" s="8" t="n">
        <v>27606</v>
      </c>
      <c r="G156" s="8" t="n">
        <v>3487</v>
      </c>
      <c r="H156" s="8" t="n">
        <v>3541</v>
      </c>
      <c r="I156" s="8" t="n">
        <v>0</v>
      </c>
      <c r="J156" s="4" t="inlineStr">
        <is>
          <t>628513028337</t>
        </is>
      </c>
      <c r="K156" s="4" t="inlineStr">
        <is>
          <t>YNAPU1910C</t>
        </is>
      </c>
      <c r="L156" s="4" t="inlineStr">
        <is>
          <t>574659802591</t>
        </is>
      </c>
      <c r="M156" s="4" t="n">
        <v>25</v>
      </c>
      <c r="N156" s="4" t="n">
        <v>0</v>
      </c>
      <c r="O156" s="4">
        <f>IFERROR(INDEX('01_Customer_Tracker'!$B:$B,MATCH(B156,'01_Customer_Tracker'!$A:$A,0)),"")</f>
        <v/>
      </c>
    </row>
    <row r="157">
      <c r="A157" s="4" t="inlineStr">
        <is>
          <t>E156</t>
        </is>
      </c>
      <c r="B157" s="4" t="inlineStr">
        <is>
          <t>C039</t>
        </is>
      </c>
      <c r="C157" s="4" t="inlineStr">
        <is>
          <t>Yash Desai</t>
        </is>
      </c>
      <c r="D157" s="4" t="inlineStr">
        <is>
          <t>Operations</t>
        </is>
      </c>
      <c r="E157" s="8" t="n">
        <v>21780</v>
      </c>
      <c r="F157" s="8" t="n">
        <v>8712</v>
      </c>
      <c r="G157" s="8" t="n">
        <v>5686</v>
      </c>
      <c r="H157" s="8" t="n">
        <v>1031</v>
      </c>
      <c r="I157" s="8" t="n">
        <v>89</v>
      </c>
      <c r="J157" s="4" t="inlineStr">
        <is>
          <t>829166443982</t>
        </is>
      </c>
      <c r="K157" s="4" t="inlineStr">
        <is>
          <t>TJPYP3662I</t>
        </is>
      </c>
      <c r="L157" s="4" t="inlineStr">
        <is>
          <t>501625019044</t>
        </is>
      </c>
      <c r="M157" s="4" t="n">
        <v>29</v>
      </c>
      <c r="N157" s="4" t="n">
        <v>0</v>
      </c>
      <c r="O157" s="4">
        <f>IFERROR(INDEX('01_Customer_Tracker'!$B:$B,MATCH(B157,'01_Customer_Tracker'!$A:$A,0)),"")</f>
        <v/>
      </c>
    </row>
    <row r="158">
      <c r="A158" s="4" t="inlineStr">
        <is>
          <t>E157</t>
        </is>
      </c>
      <c r="B158" s="4" t="inlineStr">
        <is>
          <t>C005</t>
        </is>
      </c>
      <c r="C158" s="4" t="inlineStr">
        <is>
          <t>Nikhil Singh</t>
        </is>
      </c>
      <c r="D158" s="4" t="inlineStr">
        <is>
          <t>Finance</t>
        </is>
      </c>
      <c r="E158" s="8" t="n">
        <v>34859</v>
      </c>
      <c r="F158" s="8" t="n">
        <v>13944</v>
      </c>
      <c r="G158" s="8" t="n">
        <v>5366</v>
      </c>
      <c r="H158" s="8" t="n">
        <v>921</v>
      </c>
      <c r="I158" s="8" t="n">
        <v>302</v>
      </c>
      <c r="J158" s="4" t="inlineStr">
        <is>
          <t>201094937643</t>
        </is>
      </c>
      <c r="K158" s="4" t="inlineStr">
        <is>
          <t>EJXYJ5545Z</t>
        </is>
      </c>
      <c r="L158" s="4" t="inlineStr">
        <is>
          <t>195175123715</t>
        </is>
      </c>
      <c r="M158" s="4" t="n">
        <v>25</v>
      </c>
      <c r="N158" s="4" t="n">
        <v>0</v>
      </c>
      <c r="O158" s="4">
        <f>IFERROR(INDEX('01_Customer_Tracker'!$B:$B,MATCH(B158,'01_Customer_Tracker'!$A:$A,0)),"")</f>
        <v/>
      </c>
    </row>
    <row r="159">
      <c r="A159" s="4" t="inlineStr">
        <is>
          <t>E158</t>
        </is>
      </c>
      <c r="B159" s="4" t="inlineStr">
        <is>
          <t>C006</t>
        </is>
      </c>
      <c r="C159" s="4" t="inlineStr">
        <is>
          <t>Vivaan Pillai</t>
        </is>
      </c>
      <c r="D159" s="4" t="inlineStr">
        <is>
          <t>Support</t>
        </is>
      </c>
      <c r="E159" s="8" t="n">
        <v>43750</v>
      </c>
      <c r="F159" s="8" t="n">
        <v>17500</v>
      </c>
      <c r="G159" s="8" t="n">
        <v>10282</v>
      </c>
      <c r="H159" s="8" t="n">
        <v>2703</v>
      </c>
      <c r="I159" s="8" t="n">
        <v>0</v>
      </c>
      <c r="J159" s="4" t="inlineStr">
        <is>
          <t>119712562001</t>
        </is>
      </c>
      <c r="K159" s="4" t="inlineStr">
        <is>
          <t>YPXYE4618F</t>
        </is>
      </c>
      <c r="L159" s="4" t="inlineStr">
        <is>
          <t>930972421231</t>
        </is>
      </c>
      <c r="M159" s="4" t="n">
        <v>24</v>
      </c>
      <c r="N159" s="4" t="n">
        <v>0</v>
      </c>
      <c r="O159" s="4">
        <f>IFERROR(INDEX('01_Customer_Tracker'!$B:$B,MATCH(B159,'01_Customer_Tracker'!$A:$A,0)),"")</f>
        <v/>
      </c>
    </row>
    <row r="160">
      <c r="A160" s="4" t="inlineStr">
        <is>
          <t>E159</t>
        </is>
      </c>
      <c r="B160" s="4" t="inlineStr">
        <is>
          <t>C041</t>
        </is>
      </c>
      <c r="C160" s="4" t="inlineStr">
        <is>
          <t>Om Joshi</t>
        </is>
      </c>
      <c r="D160" s="4" t="inlineStr">
        <is>
          <t>Marketing</t>
        </is>
      </c>
      <c r="E160" s="8" t="n">
        <v>56418</v>
      </c>
      <c r="F160" s="8" t="n">
        <v>22567</v>
      </c>
      <c r="G160" s="8" t="n">
        <v>8245</v>
      </c>
      <c r="H160" s="8" t="n">
        <v>955</v>
      </c>
      <c r="I160" s="8" t="n">
        <v>0</v>
      </c>
      <c r="J160" s="4" t="inlineStr">
        <is>
          <t>503614038007</t>
        </is>
      </c>
      <c r="K160" s="4" t="inlineStr">
        <is>
          <t>FAQRU9553M</t>
        </is>
      </c>
      <c r="L160" s="4" t="inlineStr">
        <is>
          <t>349478326189</t>
        </is>
      </c>
      <c r="M160" s="4" t="n">
        <v>29</v>
      </c>
      <c r="N160" s="4" t="n">
        <v>1</v>
      </c>
      <c r="O160" s="4">
        <f>IFERROR(INDEX('01_Customer_Tracker'!$B:$B,MATCH(B160,'01_Customer_Tracker'!$A:$A,0)),"")</f>
        <v/>
      </c>
    </row>
    <row r="161">
      <c r="A161" s="4" t="inlineStr">
        <is>
          <t>E160</t>
        </is>
      </c>
      <c r="B161" s="4" t="inlineStr">
        <is>
          <t>C043</t>
        </is>
      </c>
      <c r="C161" s="4" t="inlineStr">
        <is>
          <t>Siddharth Desai</t>
        </is>
      </c>
      <c r="D161" s="4" t="inlineStr">
        <is>
          <t>Marketing</t>
        </is>
      </c>
      <c r="E161" s="8" t="n">
        <v>19211</v>
      </c>
      <c r="F161" s="8" t="n">
        <v>7684</v>
      </c>
      <c r="G161" s="8" t="n">
        <v>7090</v>
      </c>
      <c r="H161" s="8" t="n">
        <v>1199</v>
      </c>
      <c r="I161" s="8" t="n">
        <v>0</v>
      </c>
      <c r="J161" s="4" t="inlineStr">
        <is>
          <t>425567713427</t>
        </is>
      </c>
      <c r="K161" s="4" t="inlineStr">
        <is>
          <t>QWDGC7318G</t>
        </is>
      </c>
      <c r="L161" s="4" t="inlineStr">
        <is>
          <t>852976671765</t>
        </is>
      </c>
      <c r="M161" s="4" t="n">
        <v>26</v>
      </c>
      <c r="N161" s="4" t="n">
        <v>0</v>
      </c>
      <c r="O161" s="4">
        <f>IFERROR(INDEX('01_Customer_Tracker'!$B:$B,MATCH(B161,'01_Customer_Tracker'!$A:$A,0)),"")</f>
        <v/>
      </c>
    </row>
    <row r="162">
      <c r="A162" s="4" t="inlineStr">
        <is>
          <t>E161</t>
        </is>
      </c>
      <c r="B162" s="4" t="inlineStr">
        <is>
          <t>C014</t>
        </is>
      </c>
      <c r="C162" s="4" t="inlineStr">
        <is>
          <t>Varun Joshi</t>
        </is>
      </c>
      <c r="D162" s="4" t="inlineStr">
        <is>
          <t>Marketing</t>
        </is>
      </c>
      <c r="E162" s="8" t="n">
        <v>31134</v>
      </c>
      <c r="F162" s="8" t="n">
        <v>12454</v>
      </c>
      <c r="G162" s="8" t="n">
        <v>5190</v>
      </c>
      <c r="H162" s="8" t="n">
        <v>406</v>
      </c>
      <c r="I162" s="8" t="n">
        <v>0</v>
      </c>
      <c r="J162" s="4" t="inlineStr">
        <is>
          <t>374412338286</t>
        </is>
      </c>
      <c r="K162" s="4" t="inlineStr">
        <is>
          <t>UQHXL2358Z</t>
        </is>
      </c>
      <c r="L162" s="4" t="inlineStr">
        <is>
          <t>912240970679</t>
        </is>
      </c>
      <c r="M162" s="4" t="n">
        <v>30</v>
      </c>
      <c r="N162" s="4" t="n">
        <v>0</v>
      </c>
      <c r="O162" s="4">
        <f>IFERROR(INDEX('01_Customer_Tracker'!$B:$B,MATCH(B162,'01_Customer_Tracker'!$A:$A,0)),"")</f>
        <v/>
      </c>
    </row>
    <row r="163">
      <c r="A163" s="4" t="inlineStr">
        <is>
          <t>E162</t>
        </is>
      </c>
      <c r="B163" s="4" t="inlineStr">
        <is>
          <t>C041</t>
        </is>
      </c>
      <c r="C163" s="4" t="inlineStr">
        <is>
          <t>Ananya Bhatia</t>
        </is>
      </c>
      <c r="D163" s="4" t="inlineStr">
        <is>
          <t>Finance</t>
        </is>
      </c>
      <c r="E163" s="8" t="n">
        <v>61510</v>
      </c>
      <c r="F163" s="8" t="n">
        <v>24604</v>
      </c>
      <c r="G163" s="8" t="n">
        <v>7972</v>
      </c>
      <c r="H163" s="8" t="n">
        <v>3144</v>
      </c>
      <c r="I163" s="8" t="n">
        <v>0</v>
      </c>
      <c r="J163" s="4" t="inlineStr">
        <is>
          <t>26317378590</t>
        </is>
      </c>
      <c r="K163" s="4" t="inlineStr">
        <is>
          <t>AYXPE8032D</t>
        </is>
      </c>
      <c r="L163" s="4" t="inlineStr">
        <is>
          <t>111157492524</t>
        </is>
      </c>
      <c r="M163" s="4" t="n">
        <v>26</v>
      </c>
      <c r="N163" s="4" t="n">
        <v>0</v>
      </c>
      <c r="O163" s="4">
        <f>IFERROR(INDEX('01_Customer_Tracker'!$B:$B,MATCH(B163,'01_Customer_Tracker'!$A:$A,0)),"")</f>
        <v/>
      </c>
    </row>
    <row r="164">
      <c r="A164" s="4" t="inlineStr">
        <is>
          <t>E163</t>
        </is>
      </c>
      <c r="B164" s="4" t="inlineStr">
        <is>
          <t>C043</t>
        </is>
      </c>
      <c r="C164" s="4" t="inlineStr">
        <is>
          <t>Saanvi Joshi</t>
        </is>
      </c>
      <c r="D164" s="4" t="inlineStr">
        <is>
          <t>Engineering</t>
        </is>
      </c>
      <c r="E164" s="8" t="n">
        <v>47774</v>
      </c>
      <c r="F164" s="8" t="n">
        <v>19110</v>
      </c>
      <c r="G164" s="8" t="n">
        <v>6955</v>
      </c>
      <c r="H164" s="8" t="n">
        <v>1298</v>
      </c>
      <c r="I164" s="8" t="n">
        <v>826</v>
      </c>
      <c r="J164" s="4" t="inlineStr">
        <is>
          <t>381525358296</t>
        </is>
      </c>
      <c r="K164" s="4" t="inlineStr">
        <is>
          <t>NBZLE6539I</t>
        </is>
      </c>
      <c r="L164" s="4" t="inlineStr">
        <is>
          <t>364564423831</t>
        </is>
      </c>
      <c r="M164" s="4" t="n">
        <v>27</v>
      </c>
      <c r="N164" s="4" t="n">
        <v>0</v>
      </c>
      <c r="O164" s="4">
        <f>IFERROR(INDEX('01_Customer_Tracker'!$B:$B,MATCH(B164,'01_Customer_Tracker'!$A:$A,0)),"")</f>
        <v/>
      </c>
    </row>
    <row r="165">
      <c r="A165" s="4" t="inlineStr">
        <is>
          <t>E164</t>
        </is>
      </c>
      <c r="B165" s="4" t="inlineStr">
        <is>
          <t>C031</t>
        </is>
      </c>
      <c r="C165" s="4" t="inlineStr">
        <is>
          <t>Dhruv Gupta</t>
        </is>
      </c>
      <c r="D165" s="4" t="inlineStr">
        <is>
          <t>HR</t>
        </is>
      </c>
      <c r="E165" s="8" t="n">
        <v>71873</v>
      </c>
      <c r="F165" s="8" t="n">
        <v>28749</v>
      </c>
      <c r="G165" s="8" t="n">
        <v>11475</v>
      </c>
      <c r="H165" s="8" t="n">
        <v>1872</v>
      </c>
      <c r="I165" s="8" t="n">
        <v>0</v>
      </c>
      <c r="J165" s="4" t="inlineStr">
        <is>
          <t>34789800975</t>
        </is>
      </c>
      <c r="K165" s="4" t="inlineStr">
        <is>
          <t>HGGGM8855A</t>
        </is>
      </c>
      <c r="L165" s="4" t="inlineStr">
        <is>
          <t>655902514497</t>
        </is>
      </c>
      <c r="M165" s="4" t="n">
        <v>28</v>
      </c>
      <c r="N165" s="4" t="n">
        <v>0</v>
      </c>
      <c r="O165" s="4">
        <f>IFERROR(INDEX('01_Customer_Tracker'!$B:$B,MATCH(B165,'01_Customer_Tracker'!$A:$A,0)),"")</f>
        <v/>
      </c>
    </row>
    <row r="166">
      <c r="A166" s="4" t="inlineStr">
        <is>
          <t>E165</t>
        </is>
      </c>
      <c r="B166" s="4" t="inlineStr">
        <is>
          <t>C002</t>
        </is>
      </c>
      <c r="C166" s="4" t="inlineStr">
        <is>
          <t>Advait Iyer</t>
        </is>
      </c>
      <c r="D166" s="4" t="inlineStr">
        <is>
          <t>Finance</t>
        </is>
      </c>
      <c r="E166" s="8" t="n">
        <v>65765</v>
      </c>
      <c r="F166" s="8" t="n">
        <v>26306</v>
      </c>
      <c r="G166" s="8" t="n">
        <v>7841</v>
      </c>
      <c r="H166" s="8" t="n">
        <v>1699</v>
      </c>
      <c r="I166" s="8" t="n">
        <v>2376</v>
      </c>
      <c r="J166" s="4" t="inlineStr"/>
      <c r="K166" s="4" t="inlineStr">
        <is>
          <t>LRCZJ1142R</t>
        </is>
      </c>
      <c r="L166" s="4" t="inlineStr">
        <is>
          <t>775907877593</t>
        </is>
      </c>
      <c r="M166" s="4" t="n">
        <v>27</v>
      </c>
      <c r="N166" s="4" t="n">
        <v>0</v>
      </c>
      <c r="O166" s="4">
        <f>IFERROR(INDEX('01_Customer_Tracker'!$B:$B,MATCH(B166,'01_Customer_Tracker'!$A:$A,0)),"")</f>
        <v/>
      </c>
    </row>
    <row r="167">
      <c r="A167" s="4" t="inlineStr">
        <is>
          <t>E166</t>
        </is>
      </c>
      <c r="B167" s="4" t="inlineStr">
        <is>
          <t>C006</t>
        </is>
      </c>
      <c r="C167" s="4" t="inlineStr">
        <is>
          <t>Kiara Joshi</t>
        </is>
      </c>
      <c r="D167" s="4" t="inlineStr">
        <is>
          <t>Sales</t>
        </is>
      </c>
      <c r="E167" s="8" t="n">
        <v>61493</v>
      </c>
      <c r="F167" s="8" t="n">
        <v>24597</v>
      </c>
      <c r="G167" s="8" t="n">
        <v>4246</v>
      </c>
      <c r="H167" s="8" t="n">
        <v>3427</v>
      </c>
      <c r="I167" s="8" t="n">
        <v>0</v>
      </c>
      <c r="J167" s="4" t="inlineStr">
        <is>
          <t>131066641830</t>
        </is>
      </c>
      <c r="K167" s="4" t="inlineStr">
        <is>
          <t>DYJAH8524J</t>
        </is>
      </c>
      <c r="L167" s="4" t="inlineStr">
        <is>
          <t>275165390444</t>
        </is>
      </c>
      <c r="M167" s="4" t="n">
        <v>24</v>
      </c>
      <c r="N167" s="4" t="n">
        <v>1</v>
      </c>
      <c r="O167" s="4">
        <f>IFERROR(INDEX('01_Customer_Tracker'!$B:$B,MATCH(B167,'01_Customer_Tracker'!$A:$A,0)),"")</f>
        <v/>
      </c>
    </row>
    <row r="168">
      <c r="A168" s="4" t="inlineStr">
        <is>
          <t>E167</t>
        </is>
      </c>
      <c r="B168" s="4" t="inlineStr">
        <is>
          <t>C050</t>
        </is>
      </c>
      <c r="C168" s="4" t="inlineStr">
        <is>
          <t>Anika Agarwal</t>
        </is>
      </c>
      <c r="D168" s="4" t="inlineStr">
        <is>
          <t>Operations</t>
        </is>
      </c>
      <c r="E168" s="8" t="n">
        <v>30345</v>
      </c>
      <c r="F168" s="8" t="n">
        <v>12138</v>
      </c>
      <c r="G168" s="8" t="n">
        <v>3242</v>
      </c>
      <c r="H168" s="8" t="n">
        <v>485</v>
      </c>
      <c r="I168" s="8" t="n">
        <v>0</v>
      </c>
      <c r="J168" s="4" t="inlineStr">
        <is>
          <t>769984422370</t>
        </is>
      </c>
      <c r="K168" s="4" t="inlineStr">
        <is>
          <t>LQXUQ8766D</t>
        </is>
      </c>
      <c r="L168" s="4" t="inlineStr">
        <is>
          <t>365851715238</t>
        </is>
      </c>
      <c r="M168" s="4" t="n">
        <v>29</v>
      </c>
      <c r="N168" s="4" t="n">
        <v>2</v>
      </c>
      <c r="O168" s="4">
        <f>IFERROR(INDEX('01_Customer_Tracker'!$B:$B,MATCH(B168,'01_Customer_Tracker'!$A:$A,0)),"")</f>
        <v/>
      </c>
    </row>
    <row r="169">
      <c r="A169" s="4" t="inlineStr">
        <is>
          <t>E168</t>
        </is>
      </c>
      <c r="B169" s="4" t="inlineStr">
        <is>
          <t>C017</t>
        </is>
      </c>
      <c r="C169" s="4" t="inlineStr">
        <is>
          <t>Kiara Mehta</t>
        </is>
      </c>
      <c r="D169" s="4" t="inlineStr">
        <is>
          <t>Marketing</t>
        </is>
      </c>
      <c r="E169" s="8" t="n">
        <v>85687</v>
      </c>
      <c r="F169" s="8" t="n">
        <v>34275</v>
      </c>
      <c r="G169" s="8" t="n">
        <v>7468</v>
      </c>
      <c r="H169" s="8" t="n">
        <v>6515</v>
      </c>
      <c r="I169" s="8" t="n">
        <v>0</v>
      </c>
      <c r="J169" s="4" t="inlineStr">
        <is>
          <t>670722919217</t>
        </is>
      </c>
      <c r="K169" s="4" t="inlineStr">
        <is>
          <t>NLSTM1284C</t>
        </is>
      </c>
      <c r="L169" s="4" t="inlineStr">
        <is>
          <t>652778923188</t>
        </is>
      </c>
      <c r="M169" s="4" t="n">
        <v>25</v>
      </c>
      <c r="N169" s="4" t="n">
        <v>2</v>
      </c>
      <c r="O169" s="4">
        <f>IFERROR(INDEX('01_Customer_Tracker'!$B:$B,MATCH(B169,'01_Customer_Tracker'!$A:$A,0)),"")</f>
        <v/>
      </c>
    </row>
    <row r="170">
      <c r="A170" s="4" t="inlineStr">
        <is>
          <t>E169</t>
        </is>
      </c>
      <c r="B170" s="4" t="inlineStr">
        <is>
          <t>C040</t>
        </is>
      </c>
      <c r="C170" s="4" t="inlineStr">
        <is>
          <t>Shaurya Verma</t>
        </is>
      </c>
      <c r="D170" s="4" t="inlineStr">
        <is>
          <t>Operations</t>
        </is>
      </c>
      <c r="E170" s="8" t="n">
        <v>37699</v>
      </c>
      <c r="F170" s="8" t="n">
        <v>15080</v>
      </c>
      <c r="G170" s="8" t="n">
        <v>10809</v>
      </c>
      <c r="H170" s="8" t="n">
        <v>2777</v>
      </c>
      <c r="I170" s="8" t="n">
        <v>0</v>
      </c>
      <c r="J170" s="4" t="inlineStr">
        <is>
          <t>775166136223</t>
        </is>
      </c>
      <c r="K170" s="4" t="inlineStr">
        <is>
          <t>VCHDM3697F</t>
        </is>
      </c>
      <c r="L170" s="4" t="inlineStr">
        <is>
          <t>874797551668</t>
        </is>
      </c>
      <c r="M170" s="4" t="n">
        <v>27</v>
      </c>
      <c r="N170" s="4" t="n">
        <v>0</v>
      </c>
      <c r="O170" s="4">
        <f>IFERROR(INDEX('01_Customer_Tracker'!$B:$B,MATCH(B170,'01_Customer_Tracker'!$A:$A,0)),"")</f>
        <v/>
      </c>
    </row>
    <row r="171">
      <c r="A171" s="4" t="inlineStr">
        <is>
          <t>E170</t>
        </is>
      </c>
      <c r="B171" s="4" t="inlineStr">
        <is>
          <t>C004</t>
        </is>
      </c>
      <c r="C171" s="4" t="inlineStr">
        <is>
          <t>Meera Singh</t>
        </is>
      </c>
      <c r="D171" s="4" t="inlineStr">
        <is>
          <t>Marketing</t>
        </is>
      </c>
      <c r="E171" s="8" t="n">
        <v>83203</v>
      </c>
      <c r="F171" s="8" t="n">
        <v>33281</v>
      </c>
      <c r="G171" s="8" t="n">
        <v>11575</v>
      </c>
      <c r="H171" s="8" t="n">
        <v>2336</v>
      </c>
      <c r="I171" s="8" t="n">
        <v>0</v>
      </c>
      <c r="J171" s="4" t="inlineStr">
        <is>
          <t>575501059437</t>
        </is>
      </c>
      <c r="K171" s="4" t="inlineStr">
        <is>
          <t>FDKSO4108I</t>
        </is>
      </c>
      <c r="L171" s="4" t="inlineStr">
        <is>
          <t>359697706264</t>
        </is>
      </c>
      <c r="M171" s="4" t="n">
        <v>28</v>
      </c>
      <c r="N171" s="4" t="n">
        <v>0</v>
      </c>
      <c r="O171" s="4">
        <f>IFERROR(INDEX('01_Customer_Tracker'!$B:$B,MATCH(B171,'01_Customer_Tracker'!$A:$A,0)),"")</f>
        <v/>
      </c>
    </row>
    <row r="172">
      <c r="A172" s="4" t="inlineStr">
        <is>
          <t>E171</t>
        </is>
      </c>
      <c r="B172" s="4" t="inlineStr">
        <is>
          <t>C031</t>
        </is>
      </c>
      <c r="C172" s="4" t="inlineStr">
        <is>
          <t>Aryan Kapoor</t>
        </is>
      </c>
      <c r="D172" s="4" t="inlineStr">
        <is>
          <t>Support</t>
        </is>
      </c>
      <c r="E172" s="8" t="n">
        <v>81582</v>
      </c>
      <c r="F172" s="8" t="n">
        <v>32633</v>
      </c>
      <c r="G172" s="8" t="n">
        <v>7206</v>
      </c>
      <c r="H172" s="8" t="n">
        <v>4112</v>
      </c>
      <c r="I172" s="8" t="n">
        <v>0</v>
      </c>
      <c r="J172" s="4" t="inlineStr">
        <is>
          <t>434306989067</t>
        </is>
      </c>
      <c r="K172" s="4" t="inlineStr">
        <is>
          <t>GMPFG8405J</t>
        </is>
      </c>
      <c r="L172" s="4" t="inlineStr">
        <is>
          <t>744960481053</t>
        </is>
      </c>
      <c r="M172" s="4" t="n">
        <v>25</v>
      </c>
      <c r="N172" s="4" t="n">
        <v>0</v>
      </c>
      <c r="O172" s="4">
        <f>IFERROR(INDEX('01_Customer_Tracker'!$B:$B,MATCH(B172,'01_Customer_Tracker'!$A:$A,0)),"")</f>
        <v/>
      </c>
    </row>
    <row r="173">
      <c r="A173" s="4" t="inlineStr">
        <is>
          <t>E172</t>
        </is>
      </c>
      <c r="B173" s="4" t="inlineStr">
        <is>
          <t>C007</t>
        </is>
      </c>
      <c r="C173" s="4" t="inlineStr">
        <is>
          <t>Amit Chatterjee</t>
        </is>
      </c>
      <c r="D173" s="4" t="inlineStr">
        <is>
          <t>Operations</t>
        </is>
      </c>
      <c r="E173" s="8" t="n">
        <v>79719</v>
      </c>
      <c r="F173" s="8" t="n">
        <v>31888</v>
      </c>
      <c r="G173" s="8" t="n">
        <v>4280</v>
      </c>
      <c r="H173" s="8" t="n">
        <v>1856</v>
      </c>
      <c r="I173" s="8" t="n">
        <v>0</v>
      </c>
      <c r="J173" s="4" t="inlineStr">
        <is>
          <t>732116355002</t>
        </is>
      </c>
      <c r="K173" s="4" t="inlineStr">
        <is>
          <t>XUARE8616B</t>
        </is>
      </c>
      <c r="L173" s="4" t="inlineStr">
        <is>
          <t>478146569071</t>
        </is>
      </c>
      <c r="M173" s="4" t="n">
        <v>30</v>
      </c>
      <c r="N173" s="4" t="n">
        <v>0</v>
      </c>
      <c r="O173" s="4">
        <f>IFERROR(INDEX('01_Customer_Tracker'!$B:$B,MATCH(B173,'01_Customer_Tracker'!$A:$A,0)),"")</f>
        <v/>
      </c>
    </row>
    <row r="174">
      <c r="A174" s="4" t="inlineStr">
        <is>
          <t>E173</t>
        </is>
      </c>
      <c r="B174" s="4" t="inlineStr">
        <is>
          <t>C045</t>
        </is>
      </c>
      <c r="C174" s="4" t="inlineStr">
        <is>
          <t>Myra Rao</t>
        </is>
      </c>
      <c r="D174" s="4" t="inlineStr">
        <is>
          <t>Engineering</t>
        </is>
      </c>
      <c r="E174" s="8" t="n">
        <v>48965</v>
      </c>
      <c r="F174" s="8" t="n">
        <v>19586</v>
      </c>
      <c r="G174" s="8" t="n">
        <v>11066</v>
      </c>
      <c r="H174" s="8" t="n">
        <v>3630</v>
      </c>
      <c r="I174" s="8" t="n">
        <v>0</v>
      </c>
      <c r="J174" s="4" t="inlineStr"/>
      <c r="K174" s="4" t="inlineStr">
        <is>
          <t>NCTFI8565R</t>
        </is>
      </c>
      <c r="L174" s="4" t="inlineStr">
        <is>
          <t>454675680473</t>
        </is>
      </c>
      <c r="M174" s="4" t="n">
        <v>26</v>
      </c>
      <c r="N174" s="4" t="n">
        <v>0</v>
      </c>
      <c r="O174" s="4">
        <f>IFERROR(INDEX('01_Customer_Tracker'!$B:$B,MATCH(B174,'01_Customer_Tracker'!$A:$A,0)),"")</f>
        <v/>
      </c>
    </row>
    <row r="175">
      <c r="A175" s="4" t="inlineStr">
        <is>
          <t>E174</t>
        </is>
      </c>
      <c r="B175" s="4" t="inlineStr">
        <is>
          <t>C025</t>
        </is>
      </c>
      <c r="C175" s="4" t="inlineStr">
        <is>
          <t>Riya Chatterjee</t>
        </is>
      </c>
      <c r="D175" s="4" t="inlineStr">
        <is>
          <t>Support</t>
        </is>
      </c>
      <c r="E175" s="8" t="n">
        <v>44317</v>
      </c>
      <c r="F175" s="8" t="n">
        <v>17727</v>
      </c>
      <c r="G175" s="8" t="n">
        <v>10899</v>
      </c>
      <c r="H175" s="8" t="n">
        <v>2153</v>
      </c>
      <c r="I175" s="8" t="n">
        <v>0</v>
      </c>
      <c r="J175" s="4" t="inlineStr">
        <is>
          <t>472600634212</t>
        </is>
      </c>
      <c r="K175" s="4" t="inlineStr">
        <is>
          <t>BHPOL3566K</t>
        </is>
      </c>
      <c r="L175" s="4" t="inlineStr">
        <is>
          <t>524692641186</t>
        </is>
      </c>
      <c r="M175" s="4" t="n">
        <v>26</v>
      </c>
      <c r="N175" s="4" t="n">
        <v>0</v>
      </c>
      <c r="O175" s="4">
        <f>IFERROR(INDEX('01_Customer_Tracker'!$B:$B,MATCH(B175,'01_Customer_Tracker'!$A:$A,0)),"")</f>
        <v/>
      </c>
    </row>
    <row r="176">
      <c r="A176" s="4" t="inlineStr">
        <is>
          <t>E175</t>
        </is>
      </c>
      <c r="B176" s="4" t="inlineStr">
        <is>
          <t>C007</t>
        </is>
      </c>
      <c r="C176" s="4" t="inlineStr">
        <is>
          <t>Aryan Gupta</t>
        </is>
      </c>
      <c r="D176" s="4" t="inlineStr">
        <is>
          <t>Finance</t>
        </is>
      </c>
      <c r="E176" s="8" t="n">
        <v>73798</v>
      </c>
      <c r="F176" s="8" t="n">
        <v>29519</v>
      </c>
      <c r="G176" s="8" t="n">
        <v>10087</v>
      </c>
      <c r="H176" s="8" t="n">
        <v>4100</v>
      </c>
      <c r="I176" s="8" t="n">
        <v>4473</v>
      </c>
      <c r="J176" s="4" t="inlineStr">
        <is>
          <t>802571346339</t>
        </is>
      </c>
      <c r="K176" s="4" t="inlineStr">
        <is>
          <t>PWHDC6243R</t>
        </is>
      </c>
      <c r="L176" s="4" t="inlineStr">
        <is>
          <t>765255089733</t>
        </is>
      </c>
      <c r="M176" s="4" t="n">
        <v>25</v>
      </c>
      <c r="N176" s="4" t="n">
        <v>2</v>
      </c>
      <c r="O176" s="4">
        <f>IFERROR(INDEX('01_Customer_Tracker'!$B:$B,MATCH(B176,'01_Customer_Tracker'!$A:$A,0)),"")</f>
        <v/>
      </c>
    </row>
    <row r="177">
      <c r="A177" s="4" t="inlineStr">
        <is>
          <t>E176</t>
        </is>
      </c>
      <c r="B177" s="4" t="inlineStr">
        <is>
          <t>C011</t>
        </is>
      </c>
      <c r="C177" s="4" t="inlineStr">
        <is>
          <t>Shaurya Reddy</t>
        </is>
      </c>
      <c r="D177" s="4" t="inlineStr">
        <is>
          <t>Sales</t>
        </is>
      </c>
      <c r="E177" s="8" t="n">
        <v>51447</v>
      </c>
      <c r="F177" s="8" t="n">
        <v>20579</v>
      </c>
      <c r="G177" s="8" t="n">
        <v>6867</v>
      </c>
      <c r="H177" s="8" t="n">
        <v>682</v>
      </c>
      <c r="I177" s="8" t="n">
        <v>0</v>
      </c>
      <c r="J177" s="4" t="inlineStr">
        <is>
          <t>876981101102</t>
        </is>
      </c>
      <c r="K177" s="4" t="inlineStr">
        <is>
          <t>YGZMW2611E</t>
        </is>
      </c>
      <c r="L177" s="4" t="inlineStr">
        <is>
          <t>837692397580</t>
        </is>
      </c>
      <c r="M177" s="4" t="n">
        <v>27</v>
      </c>
      <c r="N177" s="4" t="n">
        <v>0</v>
      </c>
      <c r="O177" s="4">
        <f>IFERROR(INDEX('01_Customer_Tracker'!$B:$B,MATCH(B177,'01_Customer_Tracker'!$A:$A,0)),"")</f>
        <v/>
      </c>
    </row>
    <row r="178">
      <c r="A178" s="4" t="inlineStr">
        <is>
          <t>E177</t>
        </is>
      </c>
      <c r="B178" s="4" t="inlineStr">
        <is>
          <t>C012</t>
        </is>
      </c>
      <c r="C178" s="4" t="inlineStr">
        <is>
          <t>Vivaan Kulkarni</t>
        </is>
      </c>
      <c r="D178" s="4" t="inlineStr">
        <is>
          <t>Marketing</t>
        </is>
      </c>
      <c r="E178" s="8" t="n">
        <v>78861</v>
      </c>
      <c r="F178" s="8" t="n">
        <v>31544</v>
      </c>
      <c r="G178" s="8" t="n">
        <v>8731</v>
      </c>
      <c r="H178" s="8" t="n">
        <v>4246</v>
      </c>
      <c r="I178" s="8" t="n">
        <v>0</v>
      </c>
      <c r="J178" s="4" t="inlineStr">
        <is>
          <t>814173977004</t>
        </is>
      </c>
      <c r="K178" s="4" t="inlineStr">
        <is>
          <t>NOSAM5569X</t>
        </is>
      </c>
      <c r="L178" s="4" t="inlineStr">
        <is>
          <t>306953216036</t>
        </is>
      </c>
      <c r="M178" s="4" t="n">
        <v>26</v>
      </c>
      <c r="N178" s="4" t="n">
        <v>0</v>
      </c>
      <c r="O178" s="4">
        <f>IFERROR(INDEX('01_Customer_Tracker'!$B:$B,MATCH(B178,'01_Customer_Tracker'!$A:$A,0)),"")</f>
        <v/>
      </c>
    </row>
    <row r="179">
      <c r="A179" s="4" t="inlineStr">
        <is>
          <t>E178</t>
        </is>
      </c>
      <c r="B179" s="4" t="inlineStr">
        <is>
          <t>C048</t>
        </is>
      </c>
      <c r="C179" s="4" t="inlineStr">
        <is>
          <t>Reyansh Pillai</t>
        </is>
      </c>
      <c r="D179" s="4" t="inlineStr">
        <is>
          <t>Marketing</t>
        </is>
      </c>
      <c r="E179" s="8" t="n">
        <v>20520</v>
      </c>
      <c r="F179" s="8" t="n">
        <v>8208</v>
      </c>
      <c r="G179" s="8" t="n">
        <v>4096</v>
      </c>
      <c r="H179" s="8" t="n">
        <v>493</v>
      </c>
      <c r="I179" s="8" t="n">
        <v>1498</v>
      </c>
      <c r="J179" s="4" t="inlineStr">
        <is>
          <t>861957919720</t>
        </is>
      </c>
      <c r="K179" s="4" t="inlineStr">
        <is>
          <t>YFINN9916K</t>
        </is>
      </c>
      <c r="L179" s="4" t="inlineStr">
        <is>
          <t>600837481459</t>
        </is>
      </c>
      <c r="M179" s="4" t="n">
        <v>24</v>
      </c>
      <c r="N179" s="4" t="n">
        <v>0</v>
      </c>
      <c r="O179" s="4">
        <f>IFERROR(INDEX('01_Customer_Tracker'!$B:$B,MATCH(B179,'01_Customer_Tracker'!$A:$A,0)),"")</f>
        <v/>
      </c>
    </row>
    <row r="180">
      <c r="A180" s="4" t="inlineStr">
        <is>
          <t>E179</t>
        </is>
      </c>
      <c r="B180" s="4" t="inlineStr">
        <is>
          <t>C032</t>
        </is>
      </c>
      <c r="C180" s="4" t="inlineStr">
        <is>
          <t>Varun Pillai</t>
        </is>
      </c>
      <c r="D180" s="4" t="inlineStr">
        <is>
          <t>Sales</t>
        </is>
      </c>
      <c r="E180" s="8" t="n">
        <v>41646</v>
      </c>
      <c r="F180" s="8" t="n">
        <v>16658</v>
      </c>
      <c r="G180" s="8" t="n">
        <v>8509</v>
      </c>
      <c r="H180" s="8" t="n">
        <v>1366</v>
      </c>
      <c r="I180" s="8" t="n">
        <v>1526</v>
      </c>
      <c r="J180" s="4" t="inlineStr">
        <is>
          <t>786861820095</t>
        </is>
      </c>
      <c r="K180" s="4" t="inlineStr"/>
      <c r="L180" s="4" t="inlineStr">
        <is>
          <t>102436546308</t>
        </is>
      </c>
      <c r="M180" s="4" t="n">
        <v>28</v>
      </c>
      <c r="N180" s="4" t="n">
        <v>0</v>
      </c>
      <c r="O180" s="4">
        <f>IFERROR(INDEX('01_Customer_Tracker'!$B:$B,MATCH(B180,'01_Customer_Tracker'!$A:$A,0)),"")</f>
        <v/>
      </c>
    </row>
    <row r="181">
      <c r="A181" s="4" t="inlineStr">
        <is>
          <t>E180</t>
        </is>
      </c>
      <c r="B181" s="4" t="inlineStr">
        <is>
          <t>C046</t>
        </is>
      </c>
      <c r="C181" s="4" t="inlineStr">
        <is>
          <t>Diya Sharma</t>
        </is>
      </c>
      <c r="D181" s="4" t="inlineStr">
        <is>
          <t>Operations</t>
        </is>
      </c>
      <c r="E181" s="8" t="n">
        <v>56416</v>
      </c>
      <c r="F181" s="8" t="n">
        <v>22566</v>
      </c>
      <c r="G181" s="8" t="n">
        <v>4356</v>
      </c>
      <c r="H181" s="8" t="n">
        <v>2677</v>
      </c>
      <c r="I181" s="8" t="n">
        <v>2760</v>
      </c>
      <c r="J181" s="4" t="inlineStr">
        <is>
          <t>INVALID00</t>
        </is>
      </c>
      <c r="K181" s="4" t="inlineStr">
        <is>
          <t>GSCOZ1837H</t>
        </is>
      </c>
      <c r="L181" s="4" t="inlineStr">
        <is>
          <t>257480053738</t>
        </is>
      </c>
      <c r="M181" s="4" t="n">
        <v>29</v>
      </c>
      <c r="N181" s="4" t="n">
        <v>0</v>
      </c>
      <c r="O181" s="4">
        <f>IFERROR(INDEX('01_Customer_Tracker'!$B:$B,MATCH(B181,'01_Customer_Tracker'!$A:$A,0)),"")</f>
        <v/>
      </c>
    </row>
    <row r="182">
      <c r="A182" s="4" t="inlineStr">
        <is>
          <t>E181</t>
        </is>
      </c>
      <c r="B182" s="4" t="inlineStr">
        <is>
          <t>C050</t>
        </is>
      </c>
      <c r="C182" s="4" t="inlineStr">
        <is>
          <t>Nikhil Singh</t>
        </is>
      </c>
      <c r="D182" s="4" t="inlineStr">
        <is>
          <t>Finance</t>
        </is>
      </c>
      <c r="E182" s="8" t="n">
        <v>73707</v>
      </c>
      <c r="F182" s="8" t="n">
        <v>29483</v>
      </c>
      <c r="G182" s="8" t="n">
        <v>3357</v>
      </c>
      <c r="H182" s="8" t="n">
        <v>1216</v>
      </c>
      <c r="I182" s="8" t="n">
        <v>4624</v>
      </c>
      <c r="J182" s="4" t="inlineStr">
        <is>
          <t>42606654551</t>
        </is>
      </c>
      <c r="K182" s="4" t="inlineStr">
        <is>
          <t>MYFAS5792V</t>
        </is>
      </c>
      <c r="L182" s="4" t="inlineStr">
        <is>
          <t>172706827543</t>
        </is>
      </c>
      <c r="M182" s="4" t="n">
        <v>27</v>
      </c>
      <c r="N182" s="4" t="n">
        <v>0</v>
      </c>
      <c r="O182" s="4">
        <f>IFERROR(INDEX('01_Customer_Tracker'!$B:$B,MATCH(B182,'01_Customer_Tracker'!$A:$A,0)),"")</f>
        <v/>
      </c>
    </row>
    <row r="183">
      <c r="A183" s="4" t="inlineStr">
        <is>
          <t>E182</t>
        </is>
      </c>
      <c r="B183" s="4" t="inlineStr">
        <is>
          <t>C050</t>
        </is>
      </c>
      <c r="C183" s="4" t="inlineStr">
        <is>
          <t>Karan Kulkarni</t>
        </is>
      </c>
      <c r="D183" s="4" t="inlineStr">
        <is>
          <t>Marketing</t>
        </is>
      </c>
      <c r="E183" s="8" t="n">
        <v>53150</v>
      </c>
      <c r="F183" s="8" t="n">
        <v>21260</v>
      </c>
      <c r="G183" s="8" t="n">
        <v>8833</v>
      </c>
      <c r="H183" s="8" t="n">
        <v>2235</v>
      </c>
      <c r="I183" s="8" t="n">
        <v>0</v>
      </c>
      <c r="J183" s="4" t="inlineStr">
        <is>
          <t>656259352245</t>
        </is>
      </c>
      <c r="K183" s="4" t="inlineStr">
        <is>
          <t>RTXPC6286I</t>
        </is>
      </c>
      <c r="L183" s="4" t="inlineStr">
        <is>
          <t>165209476236</t>
        </is>
      </c>
      <c r="M183" s="4" t="n">
        <v>28</v>
      </c>
      <c r="N183" s="4" t="n">
        <v>0</v>
      </c>
      <c r="O183" s="4">
        <f>IFERROR(INDEX('01_Customer_Tracker'!$B:$B,MATCH(B183,'01_Customer_Tracker'!$A:$A,0)),"")</f>
        <v/>
      </c>
    </row>
    <row r="184">
      <c r="A184" s="4" t="inlineStr">
        <is>
          <t>E183</t>
        </is>
      </c>
      <c r="B184" s="4" t="inlineStr">
        <is>
          <t>C023</t>
        </is>
      </c>
      <c r="C184" s="4" t="inlineStr">
        <is>
          <t>Siddharth Verma</t>
        </is>
      </c>
      <c r="D184" s="4" t="inlineStr">
        <is>
          <t>HR</t>
        </is>
      </c>
      <c r="E184" s="8" t="n">
        <v>19160</v>
      </c>
      <c r="F184" s="8" t="n">
        <v>7664</v>
      </c>
      <c r="G184" s="8" t="n">
        <v>10331</v>
      </c>
      <c r="H184" s="8" t="n">
        <v>1250</v>
      </c>
      <c r="I184" s="8" t="n">
        <v>5946</v>
      </c>
      <c r="J184" s="4" t="inlineStr">
        <is>
          <t>801517479660</t>
        </is>
      </c>
      <c r="K184" s="4" t="inlineStr">
        <is>
          <t>FXEBF7786P</t>
        </is>
      </c>
      <c r="L184" s="4" t="inlineStr">
        <is>
          <t>683737112322</t>
        </is>
      </c>
      <c r="M184" s="4" t="n">
        <v>26</v>
      </c>
      <c r="N184" s="4" t="n">
        <v>0</v>
      </c>
      <c r="O184" s="4">
        <f>IFERROR(INDEX('01_Customer_Tracker'!$B:$B,MATCH(B184,'01_Customer_Tracker'!$A:$A,0)),"")</f>
        <v/>
      </c>
    </row>
    <row r="185">
      <c r="A185" s="4" t="inlineStr">
        <is>
          <t>E184</t>
        </is>
      </c>
      <c r="B185" s="4" t="inlineStr">
        <is>
          <t>C041</t>
        </is>
      </c>
      <c r="C185" s="4" t="inlineStr">
        <is>
          <t>Arjun Nair</t>
        </is>
      </c>
      <c r="D185" s="4" t="inlineStr">
        <is>
          <t>Finance</t>
        </is>
      </c>
      <c r="E185" s="8" t="n">
        <v>25141</v>
      </c>
      <c r="F185" s="8" t="n">
        <v>10056</v>
      </c>
      <c r="G185" s="8" t="n">
        <v>6496</v>
      </c>
      <c r="H185" s="8" t="n">
        <v>235</v>
      </c>
      <c r="I185" s="8" t="n">
        <v>555</v>
      </c>
      <c r="J185" s="4" t="inlineStr">
        <is>
          <t>357896742885</t>
        </is>
      </c>
      <c r="K185" s="4" t="inlineStr">
        <is>
          <t>QIFTR3148R</t>
        </is>
      </c>
      <c r="L185" s="4" t="inlineStr">
        <is>
          <t>585251463120</t>
        </is>
      </c>
      <c r="M185" s="4" t="n">
        <v>28</v>
      </c>
      <c r="N185" s="4" t="n">
        <v>0</v>
      </c>
      <c r="O185" s="4">
        <f>IFERROR(INDEX('01_Customer_Tracker'!$B:$B,MATCH(B185,'01_Customer_Tracker'!$A:$A,0)),"")</f>
        <v/>
      </c>
    </row>
    <row r="186">
      <c r="A186" s="4" t="inlineStr">
        <is>
          <t>E185</t>
        </is>
      </c>
      <c r="B186" s="4" t="inlineStr">
        <is>
          <t>C003</t>
        </is>
      </c>
      <c r="C186" s="4" t="inlineStr">
        <is>
          <t>Siddharth Joshi</t>
        </is>
      </c>
      <c r="D186" s="4" t="inlineStr">
        <is>
          <t>Support</t>
        </is>
      </c>
      <c r="E186" s="8" t="n">
        <v>68218</v>
      </c>
      <c r="F186" s="8" t="n">
        <v>27287</v>
      </c>
      <c r="G186" s="8" t="n">
        <v>2288</v>
      </c>
      <c r="H186" s="8" t="n">
        <v>2506</v>
      </c>
      <c r="I186" s="8" t="n">
        <v>0</v>
      </c>
      <c r="J186" s="4" t="inlineStr">
        <is>
          <t>848132234124</t>
        </is>
      </c>
      <c r="K186" s="4" t="inlineStr">
        <is>
          <t>TCPNQ8651J</t>
        </is>
      </c>
      <c r="L186" s="4" t="inlineStr">
        <is>
          <t>711536696431</t>
        </is>
      </c>
      <c r="M186" s="4" t="n">
        <v>29</v>
      </c>
      <c r="N186" s="4" t="n">
        <v>0</v>
      </c>
      <c r="O186" s="4">
        <f>IFERROR(INDEX('01_Customer_Tracker'!$B:$B,MATCH(B186,'01_Customer_Tracker'!$A:$A,0)),"")</f>
        <v/>
      </c>
    </row>
    <row r="187">
      <c r="A187" s="4" t="inlineStr">
        <is>
          <t>E186</t>
        </is>
      </c>
      <c r="B187" s="4" t="inlineStr">
        <is>
          <t>C042</t>
        </is>
      </c>
      <c r="C187" s="4" t="inlineStr">
        <is>
          <t>Sneha Sharma</t>
        </is>
      </c>
      <c r="D187" s="4" t="inlineStr">
        <is>
          <t>Finance</t>
        </is>
      </c>
      <c r="E187" s="8" t="n">
        <v>60657</v>
      </c>
      <c r="F187" s="8" t="n">
        <v>24263</v>
      </c>
      <c r="G187" s="8" t="n">
        <v>2143</v>
      </c>
      <c r="H187" s="8" t="n">
        <v>2189</v>
      </c>
      <c r="I187" s="8" t="n">
        <v>3575</v>
      </c>
      <c r="J187" s="4" t="inlineStr">
        <is>
          <t>252317393120</t>
        </is>
      </c>
      <c r="K187" s="4" t="inlineStr">
        <is>
          <t>QIOTU2654X</t>
        </is>
      </c>
      <c r="L187" s="4" t="inlineStr">
        <is>
          <t>140467818248</t>
        </is>
      </c>
      <c r="M187" s="4" t="n">
        <v>25</v>
      </c>
      <c r="N187" s="4" t="n">
        <v>0</v>
      </c>
      <c r="O187" s="4">
        <f>IFERROR(INDEX('01_Customer_Tracker'!$B:$B,MATCH(B187,'01_Customer_Tracker'!$A:$A,0)),"")</f>
        <v/>
      </c>
    </row>
    <row r="188">
      <c r="A188" s="4" t="inlineStr">
        <is>
          <t>E187</t>
        </is>
      </c>
      <c r="B188" s="4" t="inlineStr">
        <is>
          <t>C021</t>
        </is>
      </c>
      <c r="C188" s="4" t="inlineStr">
        <is>
          <t>Ishaan Desai</t>
        </is>
      </c>
      <c r="D188" s="4" t="inlineStr">
        <is>
          <t>Operations</t>
        </is>
      </c>
      <c r="E188" s="8" t="n">
        <v>17995</v>
      </c>
      <c r="F188" s="8" t="n">
        <v>7198</v>
      </c>
      <c r="G188" s="8" t="n">
        <v>6163</v>
      </c>
      <c r="H188" s="8" t="n">
        <v>40</v>
      </c>
      <c r="I188" s="8" t="n">
        <v>0</v>
      </c>
      <c r="J188" s="4" t="inlineStr">
        <is>
          <t>289709057273</t>
        </is>
      </c>
      <c r="K188" s="4" t="inlineStr">
        <is>
          <t>TPGLC9308T</t>
        </is>
      </c>
      <c r="L188" s="4" t="inlineStr"/>
      <c r="M188" s="4" t="n">
        <v>26</v>
      </c>
      <c r="N188" s="4" t="n">
        <v>2</v>
      </c>
      <c r="O188" s="4">
        <f>IFERROR(INDEX('01_Customer_Tracker'!$B:$B,MATCH(B188,'01_Customer_Tracker'!$A:$A,0)),"")</f>
        <v/>
      </c>
    </row>
    <row r="189">
      <c r="A189" s="4" t="inlineStr">
        <is>
          <t>E188</t>
        </is>
      </c>
      <c r="B189" s="4" t="inlineStr">
        <is>
          <t>C024</t>
        </is>
      </c>
      <c r="C189" s="4" t="inlineStr">
        <is>
          <t>Rahul Chauhan</t>
        </is>
      </c>
      <c r="D189" s="4" t="inlineStr">
        <is>
          <t>Marketing</t>
        </is>
      </c>
      <c r="E189" s="8" t="n">
        <v>84661</v>
      </c>
      <c r="F189" s="8" t="n">
        <v>33864</v>
      </c>
      <c r="G189" s="8" t="n">
        <v>9260</v>
      </c>
      <c r="H189" s="8" t="n">
        <v>385</v>
      </c>
      <c r="I189" s="8" t="n">
        <v>2791</v>
      </c>
      <c r="J189" s="4" t="inlineStr">
        <is>
          <t>814391176844</t>
        </is>
      </c>
      <c r="K189" s="4" t="inlineStr">
        <is>
          <t>NTDFW5060O</t>
        </is>
      </c>
      <c r="L189" s="4" t="inlineStr">
        <is>
          <t>843769494974</t>
        </is>
      </c>
      <c r="M189" s="4" t="n">
        <v>27</v>
      </c>
      <c r="N189" s="4" t="n">
        <v>0</v>
      </c>
      <c r="O189" s="4">
        <f>IFERROR(INDEX('01_Customer_Tracker'!$B:$B,MATCH(B189,'01_Customer_Tracker'!$A:$A,0)),"")</f>
        <v/>
      </c>
    </row>
    <row r="190">
      <c r="A190" s="4" t="inlineStr">
        <is>
          <t>E189</t>
        </is>
      </c>
      <c r="B190" s="4" t="inlineStr">
        <is>
          <t>C002</t>
        </is>
      </c>
      <c r="C190" s="4" t="inlineStr">
        <is>
          <t>Kiara Bhatia</t>
        </is>
      </c>
      <c r="D190" s="4" t="inlineStr">
        <is>
          <t>Marketing</t>
        </is>
      </c>
      <c r="E190" s="8" t="n">
        <v>63737</v>
      </c>
      <c r="F190" s="8" t="n">
        <v>25495</v>
      </c>
      <c r="G190" s="8" t="n">
        <v>6689</v>
      </c>
      <c r="H190" s="8" t="n">
        <v>1378</v>
      </c>
      <c r="I190" s="8" t="n">
        <v>0</v>
      </c>
      <c r="J190" s="4" t="inlineStr">
        <is>
          <t>55205662582</t>
        </is>
      </c>
      <c r="K190" s="4" t="inlineStr">
        <is>
          <t>EUJLO4943T</t>
        </is>
      </c>
      <c r="L190" s="4" t="inlineStr">
        <is>
          <t>288484553313</t>
        </is>
      </c>
      <c r="M190" s="4" t="n">
        <v>25</v>
      </c>
      <c r="N190" s="4" t="n">
        <v>0</v>
      </c>
      <c r="O190" s="4">
        <f>IFERROR(INDEX('01_Customer_Tracker'!$B:$B,MATCH(B190,'01_Customer_Tracker'!$A:$A,0)),"")</f>
        <v/>
      </c>
    </row>
    <row r="191">
      <c r="A191" s="4" t="inlineStr">
        <is>
          <t>E190</t>
        </is>
      </c>
      <c r="B191" s="4" t="inlineStr">
        <is>
          <t>C022</t>
        </is>
      </c>
      <c r="C191" s="4" t="inlineStr">
        <is>
          <t>Karan Iyer</t>
        </is>
      </c>
      <c r="D191" s="4" t="inlineStr">
        <is>
          <t>HR</t>
        </is>
      </c>
      <c r="E191" s="8" t="n">
        <v>19815</v>
      </c>
      <c r="F191" s="8" t="n">
        <v>7926</v>
      </c>
      <c r="G191" s="8" t="n">
        <v>2291</v>
      </c>
      <c r="H191" s="8" t="n">
        <v>1216</v>
      </c>
      <c r="I191" s="8" t="n">
        <v>0</v>
      </c>
      <c r="J191" s="4" t="inlineStr">
        <is>
          <t>386433228059</t>
        </is>
      </c>
      <c r="K191" s="4" t="inlineStr">
        <is>
          <t>HLIVK3887N</t>
        </is>
      </c>
      <c r="L191" s="4" t="inlineStr">
        <is>
          <t>945590356700</t>
        </is>
      </c>
      <c r="M191" s="4" t="n">
        <v>29</v>
      </c>
      <c r="N191" s="4" t="n">
        <v>0</v>
      </c>
      <c r="O191" s="4">
        <f>IFERROR(INDEX('01_Customer_Tracker'!$B:$B,MATCH(B191,'01_Customer_Tracker'!$A:$A,0)),"")</f>
        <v/>
      </c>
    </row>
    <row r="192">
      <c r="A192" s="4" t="inlineStr">
        <is>
          <t>E191</t>
        </is>
      </c>
      <c r="B192" s="4" t="inlineStr">
        <is>
          <t>C018</t>
        </is>
      </c>
      <c r="C192" s="4" t="inlineStr">
        <is>
          <t>Rahul Mehta</t>
        </is>
      </c>
      <c r="D192" s="4" t="inlineStr">
        <is>
          <t>Sales</t>
        </is>
      </c>
      <c r="E192" s="8" t="n">
        <v>71084</v>
      </c>
      <c r="F192" s="8" t="n">
        <v>28434</v>
      </c>
      <c r="G192" s="8" t="n">
        <v>1569</v>
      </c>
      <c r="H192" s="8" t="n">
        <v>2603</v>
      </c>
      <c r="I192" s="8" t="n">
        <v>0</v>
      </c>
      <c r="J192" s="4" t="inlineStr">
        <is>
          <t>530030331936</t>
        </is>
      </c>
      <c r="K192" s="4" t="inlineStr">
        <is>
          <t>FINCK4733V</t>
        </is>
      </c>
      <c r="L192" s="4" t="inlineStr">
        <is>
          <t>469397326199</t>
        </is>
      </c>
      <c r="M192" s="4" t="n">
        <v>24</v>
      </c>
      <c r="N192" s="4" t="n">
        <v>0</v>
      </c>
      <c r="O192" s="4">
        <f>IFERROR(INDEX('01_Customer_Tracker'!$B:$B,MATCH(B192,'01_Customer_Tracker'!$A:$A,0)),"")</f>
        <v/>
      </c>
    </row>
    <row r="193">
      <c r="A193" s="4" t="inlineStr">
        <is>
          <t>E192</t>
        </is>
      </c>
      <c r="B193" s="4" t="inlineStr">
        <is>
          <t>C022</t>
        </is>
      </c>
      <c r="C193" s="4" t="inlineStr">
        <is>
          <t>Diya Kulkarni</t>
        </is>
      </c>
      <c r="D193" s="4" t="inlineStr">
        <is>
          <t>Sales</t>
        </is>
      </c>
      <c r="E193" s="8" t="n">
        <v>17716</v>
      </c>
      <c r="F193" s="8" t="n">
        <v>7086</v>
      </c>
      <c r="G193" s="8" t="n">
        <v>9376</v>
      </c>
      <c r="H193" s="8" t="n">
        <v>880</v>
      </c>
      <c r="I193" s="8" t="n">
        <v>0</v>
      </c>
      <c r="J193" s="4" t="inlineStr">
        <is>
          <t>30058516922</t>
        </is>
      </c>
      <c r="K193" s="4" t="inlineStr">
        <is>
          <t>LGXDW2950D</t>
        </is>
      </c>
      <c r="L193" s="4" t="inlineStr">
        <is>
          <t>461175701843</t>
        </is>
      </c>
      <c r="M193" s="4" t="n">
        <v>25</v>
      </c>
      <c r="N193" s="4" t="n">
        <v>0</v>
      </c>
      <c r="O193" s="4">
        <f>IFERROR(INDEX('01_Customer_Tracker'!$B:$B,MATCH(B193,'01_Customer_Tracker'!$A:$A,0)),"")</f>
        <v/>
      </c>
    </row>
    <row r="194">
      <c r="A194" s="4" t="inlineStr">
        <is>
          <t>E193</t>
        </is>
      </c>
      <c r="B194" s="4" t="inlineStr">
        <is>
          <t>C037</t>
        </is>
      </c>
      <c r="C194" s="4" t="inlineStr">
        <is>
          <t>Dhruv Sharma</t>
        </is>
      </c>
      <c r="D194" s="4" t="inlineStr">
        <is>
          <t>Engineering</t>
        </is>
      </c>
      <c r="E194" s="8" t="n">
        <v>27140</v>
      </c>
      <c r="F194" s="8" t="n">
        <v>10856</v>
      </c>
      <c r="G194" s="8" t="n">
        <v>3544</v>
      </c>
      <c r="H194" s="8" t="n">
        <v>203</v>
      </c>
      <c r="I194" s="8" t="n">
        <v>0</v>
      </c>
      <c r="J194" s="4" t="inlineStr">
        <is>
          <t>335784121696</t>
        </is>
      </c>
      <c r="K194" s="4" t="inlineStr">
        <is>
          <t>MOIFK1218M</t>
        </is>
      </c>
      <c r="L194" s="4" t="inlineStr">
        <is>
          <t>197477309069</t>
        </is>
      </c>
      <c r="M194" s="4" t="n">
        <v>30</v>
      </c>
      <c r="N194" s="4" t="n">
        <v>0</v>
      </c>
      <c r="O194" s="4">
        <f>IFERROR(INDEX('01_Customer_Tracker'!$B:$B,MATCH(B194,'01_Customer_Tracker'!$A:$A,0)),"")</f>
        <v/>
      </c>
    </row>
    <row r="195">
      <c r="A195" s="4" t="inlineStr">
        <is>
          <t>E194</t>
        </is>
      </c>
      <c r="B195" s="4" t="inlineStr">
        <is>
          <t>C035</t>
        </is>
      </c>
      <c r="C195" s="4" t="inlineStr">
        <is>
          <t>Sai Agarwal</t>
        </is>
      </c>
      <c r="D195" s="4" t="inlineStr">
        <is>
          <t>Marketing</t>
        </is>
      </c>
      <c r="E195" s="8" t="n">
        <v>57722</v>
      </c>
      <c r="F195" s="8" t="n">
        <v>23089</v>
      </c>
      <c r="G195" s="8" t="n">
        <v>7985</v>
      </c>
      <c r="H195" s="8" t="n">
        <v>2980</v>
      </c>
      <c r="I195" s="8" t="n">
        <v>0</v>
      </c>
      <c r="J195" s="4" t="inlineStr">
        <is>
          <t>97554381581</t>
        </is>
      </c>
      <c r="K195" s="4" t="inlineStr">
        <is>
          <t>PKZKF8815Q</t>
        </is>
      </c>
      <c r="L195" s="4" t="inlineStr">
        <is>
          <t>478075208772</t>
        </is>
      </c>
      <c r="M195" s="4" t="n">
        <v>24</v>
      </c>
      <c r="N195" s="4" t="n">
        <v>0</v>
      </c>
      <c r="O195" s="4">
        <f>IFERROR(INDEX('01_Customer_Tracker'!$B:$B,MATCH(B195,'01_Customer_Tracker'!$A:$A,0)),"")</f>
        <v/>
      </c>
    </row>
    <row r="196">
      <c r="A196" s="4" t="inlineStr">
        <is>
          <t>E195</t>
        </is>
      </c>
      <c r="B196" s="4" t="inlineStr">
        <is>
          <t>C045</t>
        </is>
      </c>
      <c r="C196" s="4" t="inlineStr">
        <is>
          <t>Myra Patel</t>
        </is>
      </c>
      <c r="D196" s="4" t="inlineStr">
        <is>
          <t>Sales</t>
        </is>
      </c>
      <c r="E196" s="8" t="n">
        <v>47064</v>
      </c>
      <c r="F196" s="8" t="n">
        <v>18826</v>
      </c>
      <c r="G196" s="8" t="n">
        <v>11969</v>
      </c>
      <c r="H196" s="8" t="n">
        <v>1815</v>
      </c>
      <c r="I196" s="8" t="n">
        <v>0</v>
      </c>
      <c r="J196" s="4" t="inlineStr">
        <is>
          <t>968227664167</t>
        </is>
      </c>
      <c r="K196" s="4" t="inlineStr">
        <is>
          <t>JPBKX4539O</t>
        </is>
      </c>
      <c r="L196" s="4" t="inlineStr">
        <is>
          <t>733957191079</t>
        </is>
      </c>
      <c r="M196" s="4" t="n">
        <v>30</v>
      </c>
      <c r="N196" s="4" t="n">
        <v>0</v>
      </c>
      <c r="O196" s="4">
        <f>IFERROR(INDEX('01_Customer_Tracker'!$B:$B,MATCH(B196,'01_Customer_Tracker'!$A:$A,0)),"")</f>
        <v/>
      </c>
    </row>
    <row r="197">
      <c r="A197" s="4" t="inlineStr">
        <is>
          <t>E196</t>
        </is>
      </c>
      <c r="B197" s="4" t="inlineStr">
        <is>
          <t>C016</t>
        </is>
      </c>
      <c r="C197" s="4" t="inlineStr">
        <is>
          <t>Sai Reddy</t>
        </is>
      </c>
      <c r="D197" s="4" t="inlineStr">
        <is>
          <t>HR</t>
        </is>
      </c>
      <c r="E197" s="8" t="n">
        <v>23861</v>
      </c>
      <c r="F197" s="8" t="n">
        <v>9544</v>
      </c>
      <c r="G197" s="8" t="n">
        <v>6290</v>
      </c>
      <c r="H197" s="8" t="n">
        <v>630</v>
      </c>
      <c r="I197" s="8" t="n">
        <v>929</v>
      </c>
      <c r="J197" s="4" t="inlineStr">
        <is>
          <t>855848863082</t>
        </is>
      </c>
      <c r="K197" s="4" t="inlineStr">
        <is>
          <t>WAHSU9993O</t>
        </is>
      </c>
      <c r="L197" s="4" t="inlineStr">
        <is>
          <t>244941114537</t>
        </is>
      </c>
      <c r="M197" s="4" t="n">
        <v>24</v>
      </c>
      <c r="N197" s="4" t="n">
        <v>0</v>
      </c>
      <c r="O197" s="4">
        <f>IFERROR(INDEX('01_Customer_Tracker'!$B:$B,MATCH(B197,'01_Customer_Tracker'!$A:$A,0)),"")</f>
        <v/>
      </c>
    </row>
    <row r="198">
      <c r="A198" s="4" t="inlineStr">
        <is>
          <t>E197</t>
        </is>
      </c>
      <c r="B198" s="4" t="inlineStr">
        <is>
          <t>C016</t>
        </is>
      </c>
      <c r="C198" s="4" t="inlineStr">
        <is>
          <t>Ritvik Verma</t>
        </is>
      </c>
      <c r="D198" s="4" t="inlineStr">
        <is>
          <t>Sales</t>
        </is>
      </c>
      <c r="E198" s="8" t="n">
        <v>59234</v>
      </c>
      <c r="F198" s="8" t="n">
        <v>23694</v>
      </c>
      <c r="G198" s="8" t="n">
        <v>4181</v>
      </c>
      <c r="H198" s="8" t="n">
        <v>3240</v>
      </c>
      <c r="I198" s="8" t="n">
        <v>0</v>
      </c>
      <c r="J198" s="4" t="inlineStr">
        <is>
          <t>371532855990</t>
        </is>
      </c>
      <c r="K198" s="4" t="inlineStr">
        <is>
          <t>ISNPP2868X</t>
        </is>
      </c>
      <c r="L198" s="4" t="inlineStr">
        <is>
          <t>893716495424</t>
        </is>
      </c>
      <c r="M198" s="4" t="n">
        <v>27</v>
      </c>
      <c r="N198" s="4" t="n">
        <v>0</v>
      </c>
      <c r="O198" s="4">
        <f>IFERROR(INDEX('01_Customer_Tracker'!$B:$B,MATCH(B198,'01_Customer_Tracker'!$A:$A,0)),"")</f>
        <v/>
      </c>
    </row>
    <row r="199">
      <c r="A199" s="4" t="inlineStr">
        <is>
          <t>E198</t>
        </is>
      </c>
      <c r="B199" s="4" t="inlineStr">
        <is>
          <t>C005</t>
        </is>
      </c>
      <c r="C199" s="4" t="inlineStr">
        <is>
          <t>Pooja Kapoor</t>
        </is>
      </c>
      <c r="D199" s="4" t="inlineStr">
        <is>
          <t>Support</t>
        </is>
      </c>
      <c r="E199" s="8" t="n">
        <v>39118</v>
      </c>
      <c r="F199" s="8" t="n">
        <v>15647</v>
      </c>
      <c r="G199" s="8" t="n">
        <v>8973</v>
      </c>
      <c r="H199" s="8" t="n">
        <v>268</v>
      </c>
      <c r="I199" s="8" t="n">
        <v>3939</v>
      </c>
      <c r="J199" s="4" t="inlineStr">
        <is>
          <t>986759658348</t>
        </is>
      </c>
      <c r="K199" s="4" t="inlineStr">
        <is>
          <t>AVFDV9910E</t>
        </is>
      </c>
      <c r="L199" s="4" t="inlineStr">
        <is>
          <t>355241034644</t>
        </is>
      </c>
      <c r="M199" s="4" t="n">
        <v>29</v>
      </c>
      <c r="N199" s="4" t="n">
        <v>0</v>
      </c>
      <c r="O199" s="4">
        <f>IFERROR(INDEX('01_Customer_Tracker'!$B:$B,MATCH(B199,'01_Customer_Tracker'!$A:$A,0)),"")</f>
        <v/>
      </c>
    </row>
    <row r="200">
      <c r="A200" s="4" t="inlineStr">
        <is>
          <t>E199</t>
        </is>
      </c>
      <c r="B200" s="4" t="inlineStr">
        <is>
          <t>C032</t>
        </is>
      </c>
      <c r="C200" s="4" t="inlineStr">
        <is>
          <t>Pari Joshi</t>
        </is>
      </c>
      <c r="D200" s="4" t="inlineStr">
        <is>
          <t>Support</t>
        </is>
      </c>
      <c r="E200" s="8" t="n">
        <v>16577</v>
      </c>
      <c r="F200" s="8" t="n">
        <v>6631</v>
      </c>
      <c r="G200" s="8" t="n">
        <v>11555</v>
      </c>
      <c r="H200" s="8" t="n">
        <v>861</v>
      </c>
      <c r="I200" s="8" t="n">
        <v>5251</v>
      </c>
      <c r="J200" s="4" t="inlineStr">
        <is>
          <t>778921789585</t>
        </is>
      </c>
      <c r="K200" s="4" t="inlineStr">
        <is>
          <t>EDMXU5660F</t>
        </is>
      </c>
      <c r="L200" s="4" t="inlineStr">
        <is>
          <t>241322947600</t>
        </is>
      </c>
      <c r="M200" s="4" t="n">
        <v>26</v>
      </c>
      <c r="N200" s="4" t="n">
        <v>0</v>
      </c>
      <c r="O200" s="4">
        <f>IFERROR(INDEX('01_Customer_Tracker'!$B:$B,MATCH(B200,'01_Customer_Tracker'!$A:$A,0)),"")</f>
        <v/>
      </c>
    </row>
    <row r="201">
      <c r="A201" s="4" t="inlineStr">
        <is>
          <t>E200</t>
        </is>
      </c>
      <c r="B201" s="4" t="inlineStr">
        <is>
          <t>C001</t>
        </is>
      </c>
      <c r="C201" s="4" t="inlineStr">
        <is>
          <t>Rohan Desai</t>
        </is>
      </c>
      <c r="D201" s="4" t="inlineStr">
        <is>
          <t>Marketing</t>
        </is>
      </c>
      <c r="E201" s="8" t="n">
        <v>25986</v>
      </c>
      <c r="F201" s="8" t="n">
        <v>10394</v>
      </c>
      <c r="G201" s="8" t="n">
        <v>9871</v>
      </c>
      <c r="H201" s="8" t="n">
        <v>1363</v>
      </c>
      <c r="I201" s="8" t="n">
        <v>5818</v>
      </c>
      <c r="J201" s="4" t="inlineStr">
        <is>
          <t>596256956070</t>
        </is>
      </c>
      <c r="K201" s="4" t="inlineStr">
        <is>
          <t>CGYOI3883V</t>
        </is>
      </c>
      <c r="L201" s="4" t="inlineStr">
        <is>
          <t>616460771821</t>
        </is>
      </c>
      <c r="M201" s="4" t="n">
        <v>25</v>
      </c>
      <c r="N201" s="4" t="n">
        <v>0</v>
      </c>
      <c r="O201" s="4">
        <f>IFERROR(INDEX('01_Customer_Tracker'!$B:$B,MATCH(B201,'01_Customer_Tracker'!$A:$A,0)),"")</f>
        <v/>
      </c>
    </row>
    <row r="202">
      <c r="A202" s="4" t="inlineStr">
        <is>
          <t>E201</t>
        </is>
      </c>
      <c r="B202" s="4" t="inlineStr">
        <is>
          <t>C025</t>
        </is>
      </c>
      <c r="C202" s="4" t="inlineStr">
        <is>
          <t>Navya Reddy</t>
        </is>
      </c>
      <c r="D202" s="4" t="inlineStr">
        <is>
          <t>HR</t>
        </is>
      </c>
      <c r="E202" s="8" t="n">
        <v>34021</v>
      </c>
      <c r="F202" s="8" t="n">
        <v>13608</v>
      </c>
      <c r="G202" s="8" t="n">
        <v>2845</v>
      </c>
      <c r="H202" s="8" t="n">
        <v>710</v>
      </c>
      <c r="I202" s="8" t="n">
        <v>0</v>
      </c>
      <c r="J202" s="4" t="inlineStr">
        <is>
          <t>821332692164</t>
        </is>
      </c>
      <c r="K202" s="4" t="inlineStr">
        <is>
          <t>YFRRS2961S</t>
        </is>
      </c>
      <c r="L202" s="4" t="inlineStr">
        <is>
          <t>887589907354</t>
        </is>
      </c>
      <c r="M202" s="4" t="n">
        <v>25</v>
      </c>
      <c r="N202" s="4" t="n">
        <v>0</v>
      </c>
      <c r="O202" s="4">
        <f>IFERROR(INDEX('01_Customer_Tracker'!$B:$B,MATCH(B202,'01_Customer_Tracker'!$A:$A,0)),"")</f>
        <v/>
      </c>
    </row>
    <row r="203">
      <c r="A203" s="4" t="inlineStr">
        <is>
          <t>E202</t>
        </is>
      </c>
      <c r="B203" s="4" t="inlineStr">
        <is>
          <t>C043</t>
        </is>
      </c>
      <c r="C203" s="4" t="inlineStr">
        <is>
          <t>Ritvik Rao</t>
        </is>
      </c>
      <c r="D203" s="4" t="inlineStr">
        <is>
          <t>Engineering</t>
        </is>
      </c>
      <c r="E203" s="8" t="n">
        <v>68857</v>
      </c>
      <c r="F203" s="8" t="n">
        <v>27543</v>
      </c>
      <c r="G203" s="8" t="n">
        <v>7865</v>
      </c>
      <c r="H203" s="8" t="n">
        <v>1060</v>
      </c>
      <c r="I203" s="8" t="n">
        <v>398</v>
      </c>
      <c r="J203" s="4" t="inlineStr">
        <is>
          <t>70100112755</t>
        </is>
      </c>
      <c r="K203" s="4" t="inlineStr">
        <is>
          <t>ZOYEF6493P</t>
        </is>
      </c>
      <c r="L203" s="4" t="inlineStr">
        <is>
          <t>839692648693</t>
        </is>
      </c>
      <c r="M203" s="4" t="n">
        <v>29</v>
      </c>
      <c r="N203" s="4" t="n">
        <v>0</v>
      </c>
      <c r="O203" s="4">
        <f>IFERROR(INDEX('01_Customer_Tracker'!$B:$B,MATCH(B203,'01_Customer_Tracker'!$A:$A,0)),"")</f>
        <v/>
      </c>
    </row>
    <row r="204">
      <c r="A204" s="4" t="inlineStr">
        <is>
          <t>E203</t>
        </is>
      </c>
      <c r="B204" s="4" t="inlineStr">
        <is>
          <t>C001</t>
        </is>
      </c>
      <c r="C204" s="4" t="inlineStr">
        <is>
          <t>Varun Joshi</t>
        </is>
      </c>
      <c r="D204" s="4" t="inlineStr">
        <is>
          <t>Marketing</t>
        </is>
      </c>
      <c r="E204" s="8" t="n">
        <v>57225</v>
      </c>
      <c r="F204" s="8" t="n">
        <v>22890</v>
      </c>
      <c r="G204" s="8" t="n">
        <v>2022</v>
      </c>
      <c r="H204" s="8" t="n">
        <v>2164</v>
      </c>
      <c r="I204" s="8" t="n">
        <v>0</v>
      </c>
      <c r="J204" s="4" t="inlineStr">
        <is>
          <t>217986252585</t>
        </is>
      </c>
      <c r="K204" s="4" t="inlineStr">
        <is>
          <t>WZTCQ8462Q</t>
        </is>
      </c>
      <c r="L204" s="4" t="inlineStr">
        <is>
          <t>320369272474</t>
        </is>
      </c>
      <c r="M204" s="4" t="n">
        <v>28</v>
      </c>
      <c r="N204" s="4" t="n">
        <v>0</v>
      </c>
      <c r="O204" s="4">
        <f>IFERROR(INDEX('01_Customer_Tracker'!$B:$B,MATCH(B204,'01_Customer_Tracker'!$A:$A,0)),"")</f>
        <v/>
      </c>
    </row>
    <row r="205">
      <c r="A205" s="4" t="inlineStr">
        <is>
          <t>E204</t>
        </is>
      </c>
      <c r="B205" s="4" t="inlineStr">
        <is>
          <t>C022</t>
        </is>
      </c>
      <c r="C205" s="4" t="inlineStr">
        <is>
          <t>Aditya Verma</t>
        </is>
      </c>
      <c r="D205" s="4" t="inlineStr">
        <is>
          <t>Operations</t>
        </is>
      </c>
      <c r="E205" s="8" t="n">
        <v>73081</v>
      </c>
      <c r="F205" s="8" t="n">
        <v>29232</v>
      </c>
      <c r="G205" s="8" t="n">
        <v>8398</v>
      </c>
      <c r="H205" s="8" t="n">
        <v>3449</v>
      </c>
      <c r="I205" s="8" t="n">
        <v>1990</v>
      </c>
      <c r="J205" s="4" t="inlineStr">
        <is>
          <t>INVALID00</t>
        </is>
      </c>
      <c r="K205" s="4" t="inlineStr">
        <is>
          <t>CGHIX5396T</t>
        </is>
      </c>
      <c r="L205" s="4" t="inlineStr">
        <is>
          <t>728371220245</t>
        </is>
      </c>
      <c r="M205" s="4" t="n">
        <v>27</v>
      </c>
      <c r="N205" s="4" t="n">
        <v>0</v>
      </c>
      <c r="O205" s="4">
        <f>IFERROR(INDEX('01_Customer_Tracker'!$B:$B,MATCH(B205,'01_Customer_Tracker'!$A:$A,0)),"")</f>
        <v/>
      </c>
    </row>
    <row r="206">
      <c r="A206" s="4" t="inlineStr">
        <is>
          <t>E205</t>
        </is>
      </c>
      <c r="B206" s="4" t="inlineStr">
        <is>
          <t>C050</t>
        </is>
      </c>
      <c r="C206" s="4" t="inlineStr">
        <is>
          <t>Diya Menon</t>
        </is>
      </c>
      <c r="D206" s="4" t="inlineStr">
        <is>
          <t>Marketing</t>
        </is>
      </c>
      <c r="E206" s="8" t="n">
        <v>33657</v>
      </c>
      <c r="F206" s="8" t="n">
        <v>13463</v>
      </c>
      <c r="G206" s="8" t="n">
        <v>2461</v>
      </c>
      <c r="H206" s="8" t="n">
        <v>1567</v>
      </c>
      <c r="I206" s="8" t="n">
        <v>1956</v>
      </c>
      <c r="J206" s="4" t="inlineStr">
        <is>
          <t>399317633056</t>
        </is>
      </c>
      <c r="K206" s="4" t="inlineStr">
        <is>
          <t>JTPMC6136E</t>
        </is>
      </c>
      <c r="L206" s="4" t="inlineStr">
        <is>
          <t>227160340378</t>
        </is>
      </c>
      <c r="M206" s="4" t="n">
        <v>26</v>
      </c>
      <c r="N206" s="4" t="n">
        <v>0</v>
      </c>
      <c r="O206" s="4">
        <f>IFERROR(INDEX('01_Customer_Tracker'!$B:$B,MATCH(B206,'01_Customer_Tracker'!$A:$A,0)),"")</f>
        <v/>
      </c>
    </row>
    <row r="207">
      <c r="A207" s="4" t="inlineStr">
        <is>
          <t>E206</t>
        </is>
      </c>
      <c r="B207" s="4" t="inlineStr">
        <is>
          <t>C041</t>
        </is>
      </c>
      <c r="C207" s="4" t="inlineStr">
        <is>
          <t>Tanvi Agarwal</t>
        </is>
      </c>
      <c r="D207" s="4" t="inlineStr">
        <is>
          <t>Engineering</t>
        </is>
      </c>
      <c r="E207" s="8" t="n">
        <v>60181</v>
      </c>
      <c r="F207" s="8" t="n">
        <v>24072</v>
      </c>
      <c r="G207" s="8" t="n">
        <v>8225</v>
      </c>
      <c r="H207" s="8" t="n">
        <v>1819</v>
      </c>
      <c r="I207" s="8" t="n">
        <v>0</v>
      </c>
      <c r="J207" s="4" t="inlineStr">
        <is>
          <t>73812858130</t>
        </is>
      </c>
      <c r="K207" s="4" t="inlineStr">
        <is>
          <t>JGJFD9867D</t>
        </is>
      </c>
      <c r="L207" s="4" t="inlineStr">
        <is>
          <t>656007342749</t>
        </is>
      </c>
      <c r="M207" s="4" t="n">
        <v>28</v>
      </c>
      <c r="N207" s="4" t="n">
        <v>0</v>
      </c>
      <c r="O207" s="4">
        <f>IFERROR(INDEX('01_Customer_Tracker'!$B:$B,MATCH(B207,'01_Customer_Tracker'!$A:$A,0)),"")</f>
        <v/>
      </c>
    </row>
    <row r="208">
      <c r="A208" s="4" t="inlineStr">
        <is>
          <t>E207</t>
        </is>
      </c>
      <c r="B208" s="4" t="inlineStr">
        <is>
          <t>C006</t>
        </is>
      </c>
      <c r="C208" s="4" t="inlineStr">
        <is>
          <t>Krishna Chatterjee</t>
        </is>
      </c>
      <c r="D208" s="4" t="inlineStr">
        <is>
          <t>HR</t>
        </is>
      </c>
      <c r="E208" s="8" t="n">
        <v>82342</v>
      </c>
      <c r="F208" s="8" t="n">
        <v>32937</v>
      </c>
      <c r="G208" s="8" t="n">
        <v>5487</v>
      </c>
      <c r="H208" s="8" t="n">
        <v>1553</v>
      </c>
      <c r="I208" s="8" t="n">
        <v>0</v>
      </c>
      <c r="J208" s="4" t="inlineStr">
        <is>
          <t>452910232075</t>
        </is>
      </c>
      <c r="K208" s="4" t="inlineStr">
        <is>
          <t>YKTFZ2583L</t>
        </is>
      </c>
      <c r="L208" s="4" t="inlineStr">
        <is>
          <t>678273299099</t>
        </is>
      </c>
      <c r="M208" s="4" t="n">
        <v>28</v>
      </c>
      <c r="N208" s="4" t="n">
        <v>2</v>
      </c>
      <c r="O208" s="4">
        <f>IFERROR(INDEX('01_Customer_Tracker'!$B:$B,MATCH(B208,'01_Customer_Tracker'!$A:$A,0)),"")</f>
        <v/>
      </c>
    </row>
    <row r="209">
      <c r="A209" s="4" t="inlineStr">
        <is>
          <t>E208</t>
        </is>
      </c>
      <c r="B209" s="4" t="inlineStr">
        <is>
          <t>C006</t>
        </is>
      </c>
      <c r="C209" s="4" t="inlineStr">
        <is>
          <t>Ishaan Agarwal</t>
        </is>
      </c>
      <c r="D209" s="4" t="inlineStr">
        <is>
          <t>Finance</t>
        </is>
      </c>
      <c r="E209" s="8" t="n">
        <v>22315</v>
      </c>
      <c r="F209" s="8" t="n">
        <v>8926</v>
      </c>
      <c r="G209" s="8" t="n">
        <v>10162</v>
      </c>
      <c r="H209" s="8" t="n">
        <v>1157</v>
      </c>
      <c r="I209" s="8" t="n">
        <v>0</v>
      </c>
      <c r="J209" s="4" t="inlineStr">
        <is>
          <t>618460157059</t>
        </is>
      </c>
      <c r="K209" s="4" t="inlineStr">
        <is>
          <t>WMLQF2364V</t>
        </is>
      </c>
      <c r="L209" s="4" t="inlineStr"/>
      <c r="M209" s="4" t="n">
        <v>25</v>
      </c>
      <c r="N209" s="4" t="n">
        <v>0</v>
      </c>
      <c r="O209" s="4">
        <f>IFERROR(INDEX('01_Customer_Tracker'!$B:$B,MATCH(B209,'01_Customer_Tracker'!$A:$A,0)),"")</f>
        <v/>
      </c>
    </row>
    <row r="210">
      <c r="A210" s="4" t="inlineStr">
        <is>
          <t>E209</t>
        </is>
      </c>
      <c r="B210" s="4" t="inlineStr">
        <is>
          <t>C034</t>
        </is>
      </c>
      <c r="C210" s="4" t="inlineStr">
        <is>
          <t>Meera Mehta</t>
        </is>
      </c>
      <c r="D210" s="4" t="inlineStr">
        <is>
          <t>Engineering</t>
        </is>
      </c>
      <c r="E210" s="8" t="n">
        <v>33335</v>
      </c>
      <c r="F210" s="8" t="n">
        <v>13334</v>
      </c>
      <c r="G210" s="8" t="n">
        <v>3228</v>
      </c>
      <c r="H210" s="8" t="n">
        <v>2353</v>
      </c>
      <c r="I210" s="8" t="n">
        <v>0</v>
      </c>
      <c r="J210" s="4" t="inlineStr">
        <is>
          <t>451571402037</t>
        </is>
      </c>
      <c r="K210" s="4" t="inlineStr">
        <is>
          <t>XKQED7583B</t>
        </is>
      </c>
      <c r="L210" s="4" t="inlineStr">
        <is>
          <t>114631398903</t>
        </is>
      </c>
      <c r="M210" s="4" t="n">
        <v>27</v>
      </c>
      <c r="N210" s="4" t="n">
        <v>0</v>
      </c>
      <c r="O210" s="4">
        <f>IFERROR(INDEX('01_Customer_Tracker'!$B:$B,MATCH(B210,'01_Customer_Tracker'!$A:$A,0)),"")</f>
        <v/>
      </c>
    </row>
    <row r="211">
      <c r="A211" s="4" t="inlineStr">
        <is>
          <t>E210</t>
        </is>
      </c>
      <c r="B211" s="4" t="inlineStr">
        <is>
          <t>C041</t>
        </is>
      </c>
      <c r="C211" s="4" t="inlineStr">
        <is>
          <t>Aditya Pillai</t>
        </is>
      </c>
      <c r="D211" s="4" t="inlineStr">
        <is>
          <t>Finance</t>
        </is>
      </c>
      <c r="E211" s="8" t="n">
        <v>69266</v>
      </c>
      <c r="F211" s="8" t="n">
        <v>27706</v>
      </c>
      <c r="G211" s="8" t="n">
        <v>2513</v>
      </c>
      <c r="H211" s="8" t="n">
        <v>4815</v>
      </c>
      <c r="I211" s="8" t="n">
        <v>0</v>
      </c>
      <c r="J211" s="4" t="inlineStr">
        <is>
          <t>344114809320</t>
        </is>
      </c>
      <c r="K211" s="4" t="inlineStr">
        <is>
          <t>APCPU3405G</t>
        </is>
      </c>
      <c r="L211" s="4" t="inlineStr">
        <is>
          <t>202516529337</t>
        </is>
      </c>
      <c r="M211" s="4" t="n">
        <v>25</v>
      </c>
      <c r="N211" s="4" t="n">
        <v>0</v>
      </c>
      <c r="O211" s="4">
        <f>IFERROR(INDEX('01_Customer_Tracker'!$B:$B,MATCH(B211,'01_Customer_Tracker'!$A:$A,0)),"")</f>
        <v/>
      </c>
    </row>
    <row r="212">
      <c r="A212" s="4" t="inlineStr">
        <is>
          <t>E211</t>
        </is>
      </c>
      <c r="B212" s="4" t="inlineStr">
        <is>
          <t>C036</t>
        </is>
      </c>
      <c r="C212" s="4" t="inlineStr">
        <is>
          <t>Saanvi Menon</t>
        </is>
      </c>
      <c r="D212" s="4" t="inlineStr">
        <is>
          <t>Support</t>
        </is>
      </c>
      <c r="E212" s="8" t="n">
        <v>72071</v>
      </c>
      <c r="F212" s="8" t="n">
        <v>28828</v>
      </c>
      <c r="G212" s="8" t="n">
        <v>7165</v>
      </c>
      <c r="H212" s="8" t="n">
        <v>1823</v>
      </c>
      <c r="I212" s="8" t="n">
        <v>2787</v>
      </c>
      <c r="J212" s="4" t="inlineStr">
        <is>
          <t>551345325637</t>
        </is>
      </c>
      <c r="K212" s="4" t="inlineStr">
        <is>
          <t>LUXKW2526X</t>
        </is>
      </c>
      <c r="L212" s="4" t="inlineStr">
        <is>
          <t>865236146621</t>
        </is>
      </c>
      <c r="M212" s="4" t="n">
        <v>26</v>
      </c>
      <c r="N212" s="4" t="n">
        <v>0</v>
      </c>
      <c r="O212" s="4">
        <f>IFERROR(INDEX('01_Customer_Tracker'!$B:$B,MATCH(B212,'01_Customer_Tracker'!$A:$A,0)),"")</f>
        <v/>
      </c>
    </row>
    <row r="213">
      <c r="A213" s="4" t="inlineStr">
        <is>
          <t>E212</t>
        </is>
      </c>
      <c r="B213" s="4" t="inlineStr">
        <is>
          <t>C002</t>
        </is>
      </c>
      <c r="C213" s="4" t="inlineStr">
        <is>
          <t>Rahul Kulkarni</t>
        </is>
      </c>
      <c r="D213" s="4" t="inlineStr">
        <is>
          <t>Engineering</t>
        </is>
      </c>
      <c r="E213" s="8" t="n">
        <v>34876</v>
      </c>
      <c r="F213" s="8" t="n">
        <v>13950</v>
      </c>
      <c r="G213" s="8" t="n">
        <v>2377</v>
      </c>
      <c r="H213" s="8" t="n">
        <v>22669</v>
      </c>
      <c r="I213" s="8" t="n">
        <v>2341</v>
      </c>
      <c r="J213" s="4" t="inlineStr">
        <is>
          <t>178241185447</t>
        </is>
      </c>
      <c r="K213" s="4" t="inlineStr">
        <is>
          <t>YYFFB9633S</t>
        </is>
      </c>
      <c r="L213" s="4" t="inlineStr">
        <is>
          <t>676851104912</t>
        </is>
      </c>
      <c r="M213" s="4" t="n">
        <v>29</v>
      </c>
      <c r="N213" s="4" t="n">
        <v>0</v>
      </c>
      <c r="O213" s="4">
        <f>IFERROR(INDEX('01_Customer_Tracker'!$B:$B,MATCH(B213,'01_Customer_Tracker'!$A:$A,0)),"")</f>
        <v/>
      </c>
    </row>
    <row r="214">
      <c r="A214" s="4" t="inlineStr">
        <is>
          <t>E213</t>
        </is>
      </c>
      <c r="B214" s="4" t="inlineStr">
        <is>
          <t>C036</t>
        </is>
      </c>
      <c r="C214" s="4" t="inlineStr">
        <is>
          <t>Aryan Patel</t>
        </is>
      </c>
      <c r="D214" s="4" t="inlineStr">
        <is>
          <t>HR</t>
        </is>
      </c>
      <c r="E214" s="8" t="n">
        <v>63482</v>
      </c>
      <c r="F214" s="8" t="n">
        <v>25393</v>
      </c>
      <c r="G214" s="8" t="n">
        <v>6109</v>
      </c>
      <c r="H214" s="8" t="n">
        <v>948</v>
      </c>
      <c r="I214" s="8" t="n">
        <v>0</v>
      </c>
      <c r="J214" s="4" t="inlineStr">
        <is>
          <t>308775406560</t>
        </is>
      </c>
      <c r="K214" s="4" t="inlineStr">
        <is>
          <t>RGJSP6907A</t>
        </is>
      </c>
      <c r="L214" s="4" t="inlineStr">
        <is>
          <t>669201611221</t>
        </is>
      </c>
      <c r="M214" s="4" t="n">
        <v>27</v>
      </c>
      <c r="N214" s="4" t="n">
        <v>2</v>
      </c>
      <c r="O214" s="4">
        <f>IFERROR(INDEX('01_Customer_Tracker'!$B:$B,MATCH(B214,'01_Customer_Tracker'!$A:$A,0)),"")</f>
        <v/>
      </c>
    </row>
    <row r="215">
      <c r="A215" s="4" t="inlineStr">
        <is>
          <t>E214</t>
        </is>
      </c>
      <c r="B215" s="4" t="inlineStr">
        <is>
          <t>C008</t>
        </is>
      </c>
      <c r="C215" s="4" t="inlineStr">
        <is>
          <t>Shaurya Pillai</t>
        </is>
      </c>
      <c r="D215" s="4" t="inlineStr">
        <is>
          <t>Sales</t>
        </is>
      </c>
      <c r="E215" s="8" t="n">
        <v>89820</v>
      </c>
      <c r="F215" s="8" t="n">
        <v>35928</v>
      </c>
      <c r="G215" s="8" t="n">
        <v>4364</v>
      </c>
      <c r="H215" s="8" t="n">
        <v>4677</v>
      </c>
      <c r="I215" s="8" t="n">
        <v>973</v>
      </c>
      <c r="J215" s="4" t="inlineStr">
        <is>
          <t>337938549707</t>
        </is>
      </c>
      <c r="K215" s="4" t="inlineStr">
        <is>
          <t>ULBER2736H</t>
        </is>
      </c>
      <c r="L215" s="4" t="inlineStr">
        <is>
          <t>215989664203</t>
        </is>
      </c>
      <c r="M215" s="4" t="n">
        <v>27</v>
      </c>
      <c r="N215" s="4" t="n">
        <v>0</v>
      </c>
      <c r="O215" s="4">
        <f>IFERROR(INDEX('01_Customer_Tracker'!$B:$B,MATCH(B215,'01_Customer_Tracker'!$A:$A,0)),"")</f>
        <v/>
      </c>
    </row>
    <row r="216">
      <c r="A216" s="4" t="inlineStr">
        <is>
          <t>E215</t>
        </is>
      </c>
      <c r="B216" s="4" t="inlineStr">
        <is>
          <t>C049</t>
        </is>
      </c>
      <c r="C216" s="4" t="inlineStr">
        <is>
          <t>Priya Kulkarni</t>
        </is>
      </c>
      <c r="D216" s="4" t="inlineStr">
        <is>
          <t>Engineering</t>
        </is>
      </c>
      <c r="E216" s="8" t="n">
        <v>47009</v>
      </c>
      <c r="F216" s="8" t="n">
        <v>18804</v>
      </c>
      <c r="G216" s="8" t="n">
        <v>3956</v>
      </c>
      <c r="H216" s="8" t="n">
        <v>3388</v>
      </c>
      <c r="I216" s="8" t="n">
        <v>4152</v>
      </c>
      <c r="J216" s="4" t="inlineStr">
        <is>
          <t>724155188737</t>
        </is>
      </c>
      <c r="K216" s="4" t="inlineStr">
        <is>
          <t>BNTOV6062B</t>
        </is>
      </c>
      <c r="L216" s="4" t="inlineStr">
        <is>
          <t>799216349460</t>
        </is>
      </c>
      <c r="M216" s="4" t="n">
        <v>24</v>
      </c>
      <c r="N216" s="4" t="n">
        <v>0</v>
      </c>
      <c r="O216" s="4">
        <f>IFERROR(INDEX('01_Customer_Tracker'!$B:$B,MATCH(B216,'01_Customer_Tracker'!$A:$A,0)),"")</f>
        <v/>
      </c>
    </row>
    <row r="217">
      <c r="A217" s="4" t="inlineStr">
        <is>
          <t>E216</t>
        </is>
      </c>
      <c r="B217" s="4" t="inlineStr">
        <is>
          <t>C034</t>
        </is>
      </c>
      <c r="C217" s="4" t="inlineStr">
        <is>
          <t>Myra Chatterjee</t>
        </is>
      </c>
      <c r="D217" s="4" t="inlineStr">
        <is>
          <t>Sales</t>
        </is>
      </c>
      <c r="E217" s="8" t="n">
        <v>49957</v>
      </c>
      <c r="F217" s="8" t="n">
        <v>19983</v>
      </c>
      <c r="G217" s="8" t="n">
        <v>11958</v>
      </c>
      <c r="H217" s="8" t="n">
        <v>281</v>
      </c>
      <c r="I217" s="8" t="n">
        <v>0</v>
      </c>
      <c r="J217" s="4" t="inlineStr">
        <is>
          <t>643099491134</t>
        </is>
      </c>
      <c r="K217" s="4" t="inlineStr">
        <is>
          <t>BATBS2331W</t>
        </is>
      </c>
      <c r="L217" s="4" t="inlineStr">
        <is>
          <t>265412862870</t>
        </is>
      </c>
      <c r="M217" s="4" t="n">
        <v>26</v>
      </c>
      <c r="N217" s="4" t="n">
        <v>0</v>
      </c>
      <c r="O217" s="4">
        <f>IFERROR(INDEX('01_Customer_Tracker'!$B:$B,MATCH(B217,'01_Customer_Tracker'!$A:$A,0)),"")</f>
        <v/>
      </c>
    </row>
    <row r="218">
      <c r="A218" s="4" t="inlineStr">
        <is>
          <t>E217</t>
        </is>
      </c>
      <c r="B218" s="4" t="inlineStr">
        <is>
          <t>C014</t>
        </is>
      </c>
      <c r="C218" s="4" t="inlineStr">
        <is>
          <t>Aarav Patel</t>
        </is>
      </c>
      <c r="D218" s="4" t="inlineStr">
        <is>
          <t>Operations</t>
        </is>
      </c>
      <c r="E218" s="8" t="n">
        <v>75542</v>
      </c>
      <c r="F218" s="8" t="n">
        <v>30217</v>
      </c>
      <c r="G218" s="8" t="n">
        <v>2799</v>
      </c>
      <c r="H218" s="8" t="n">
        <v>2392</v>
      </c>
      <c r="I218" s="8" t="n">
        <v>1116</v>
      </c>
      <c r="J218" s="4" t="inlineStr">
        <is>
          <t>79531037177</t>
        </is>
      </c>
      <c r="K218" s="4" t="inlineStr">
        <is>
          <t>WBUXM3808U</t>
        </is>
      </c>
      <c r="L218" s="4" t="inlineStr">
        <is>
          <t>967930307496</t>
        </is>
      </c>
      <c r="M218" s="4" t="n">
        <v>30</v>
      </c>
      <c r="N218" s="4" t="n">
        <v>0</v>
      </c>
      <c r="O218" s="4">
        <f>IFERROR(INDEX('01_Customer_Tracker'!$B:$B,MATCH(B218,'01_Customer_Tracker'!$A:$A,0)),"")</f>
        <v/>
      </c>
    </row>
    <row r="219">
      <c r="A219" s="4" t="inlineStr">
        <is>
          <t>E218</t>
        </is>
      </c>
      <c r="B219" s="4" t="inlineStr">
        <is>
          <t>C048</t>
        </is>
      </c>
      <c r="C219" s="4" t="inlineStr">
        <is>
          <t>Neha Verma</t>
        </is>
      </c>
      <c r="D219" s="4" t="inlineStr">
        <is>
          <t>HR</t>
        </is>
      </c>
      <c r="E219" s="8" t="n">
        <v>19856</v>
      </c>
      <c r="F219" s="8" t="n">
        <v>7942</v>
      </c>
      <c r="G219" s="8" t="n">
        <v>8751</v>
      </c>
      <c r="H219" s="8" t="n">
        <v>367</v>
      </c>
      <c r="I219" s="8" t="n">
        <v>577</v>
      </c>
      <c r="J219" s="4" t="inlineStr">
        <is>
          <t>85872274836</t>
        </is>
      </c>
      <c r="K219" s="4" t="inlineStr">
        <is>
          <t>UPHZR7047E</t>
        </is>
      </c>
      <c r="L219" s="4" t="inlineStr">
        <is>
          <t>986126537387</t>
        </is>
      </c>
      <c r="M219" s="4" t="n">
        <v>28</v>
      </c>
      <c r="N219" s="4" t="n">
        <v>0</v>
      </c>
      <c r="O219" s="4">
        <f>IFERROR(INDEX('01_Customer_Tracker'!$B:$B,MATCH(B219,'01_Customer_Tracker'!$A:$A,0)),"")</f>
        <v/>
      </c>
    </row>
    <row r="220">
      <c r="A220" s="4" t="inlineStr">
        <is>
          <t>E219</t>
        </is>
      </c>
      <c r="B220" s="4" t="inlineStr">
        <is>
          <t>C017</t>
        </is>
      </c>
      <c r="C220" s="4" t="inlineStr">
        <is>
          <t>Aadhya Sharma</t>
        </is>
      </c>
      <c r="D220" s="4" t="inlineStr">
        <is>
          <t>Engineering</t>
        </is>
      </c>
      <c r="E220" s="8" t="n">
        <v>80025</v>
      </c>
      <c r="F220" s="8" t="n">
        <v>32010</v>
      </c>
      <c r="G220" s="8" t="n">
        <v>9250</v>
      </c>
      <c r="H220" s="8" t="n">
        <v>2334</v>
      </c>
      <c r="I220" s="8" t="n">
        <v>223</v>
      </c>
      <c r="J220" s="4" t="inlineStr">
        <is>
          <t>937644850866</t>
        </is>
      </c>
      <c r="K220" s="4" t="inlineStr">
        <is>
          <t>NTGVM8433E</t>
        </is>
      </c>
      <c r="L220" s="4" t="inlineStr">
        <is>
          <t>151923404499</t>
        </is>
      </c>
      <c r="M220" s="4" t="n">
        <v>30</v>
      </c>
      <c r="N220" s="4" t="n">
        <v>0</v>
      </c>
      <c r="O220" s="4">
        <f>IFERROR(INDEX('01_Customer_Tracker'!$B:$B,MATCH(B220,'01_Customer_Tracker'!$A:$A,0)),"")</f>
        <v/>
      </c>
    </row>
    <row r="221">
      <c r="A221" s="4" t="inlineStr">
        <is>
          <t>E220</t>
        </is>
      </c>
      <c r="B221" s="4" t="inlineStr">
        <is>
          <t>C021</t>
        </is>
      </c>
      <c r="C221" s="4" t="inlineStr">
        <is>
          <t>Vihaan Gupta</t>
        </is>
      </c>
      <c r="D221" s="4" t="inlineStr">
        <is>
          <t>Marketing</t>
        </is>
      </c>
      <c r="E221" s="8" t="n">
        <v>25815</v>
      </c>
      <c r="F221" s="8" t="n">
        <v>10326</v>
      </c>
      <c r="G221" s="8" t="n">
        <v>3004</v>
      </c>
      <c r="H221" s="8" t="n">
        <v>1188</v>
      </c>
      <c r="I221" s="8" t="n">
        <v>1729</v>
      </c>
      <c r="J221" s="4" t="inlineStr">
        <is>
          <t>36587219157</t>
        </is>
      </c>
      <c r="K221" s="4" t="inlineStr">
        <is>
          <t>GOMSF6830T</t>
        </is>
      </c>
      <c r="L221" s="4" t="inlineStr">
        <is>
          <t>599509221345</t>
        </is>
      </c>
      <c r="M221" s="4" t="n">
        <v>26</v>
      </c>
      <c r="N221" s="4" t="n">
        <v>1</v>
      </c>
      <c r="O221" s="4">
        <f>IFERROR(INDEX('01_Customer_Tracker'!$B:$B,MATCH(B221,'01_Customer_Tracker'!$A:$A,0)),"")</f>
        <v/>
      </c>
    </row>
    <row r="222">
      <c r="A222" s="4" t="inlineStr">
        <is>
          <t>E221</t>
        </is>
      </c>
      <c r="B222" s="4" t="inlineStr">
        <is>
          <t>C022</t>
        </is>
      </c>
      <c r="C222" s="4" t="inlineStr">
        <is>
          <t>Reyansh Chatterjee</t>
        </is>
      </c>
      <c r="D222" s="4" t="inlineStr">
        <is>
          <t>Marketing</t>
        </is>
      </c>
      <c r="E222" s="8" t="n">
        <v>55280</v>
      </c>
      <c r="F222" s="8" t="n">
        <v>22112</v>
      </c>
      <c r="G222" s="8" t="n">
        <v>9495</v>
      </c>
      <c r="H222" s="8" t="n">
        <v>1369</v>
      </c>
      <c r="I222" s="8" t="n">
        <v>0</v>
      </c>
      <c r="J222" s="4" t="inlineStr">
        <is>
          <t>652898690936</t>
        </is>
      </c>
      <c r="K222" s="4" t="inlineStr">
        <is>
          <t>XNYWK1770A</t>
        </is>
      </c>
      <c r="L222" s="4" t="inlineStr">
        <is>
          <t>156314004261</t>
        </is>
      </c>
      <c r="M222" s="4" t="n">
        <v>25</v>
      </c>
      <c r="N222" s="4" t="n">
        <v>0</v>
      </c>
      <c r="O222" s="4">
        <f>IFERROR(INDEX('01_Customer_Tracker'!$B:$B,MATCH(B222,'01_Customer_Tracker'!$A:$A,0)),"")</f>
        <v/>
      </c>
    </row>
    <row r="223">
      <c r="A223" s="4" t="inlineStr">
        <is>
          <t>E222</t>
        </is>
      </c>
      <c r="B223" s="4" t="inlineStr">
        <is>
          <t>C034</t>
        </is>
      </c>
      <c r="C223" s="4" t="inlineStr">
        <is>
          <t>Om Singh</t>
        </is>
      </c>
      <c r="D223" s="4" t="inlineStr">
        <is>
          <t>Sales</t>
        </is>
      </c>
      <c r="E223" s="8" t="n">
        <v>67595</v>
      </c>
      <c r="F223" s="8" t="n">
        <v>27038</v>
      </c>
      <c r="G223" s="8" t="n">
        <v>11690</v>
      </c>
      <c r="H223" s="8" t="n">
        <v>4275</v>
      </c>
      <c r="I223" s="8" t="n">
        <v>0</v>
      </c>
      <c r="J223" s="4" t="inlineStr">
        <is>
          <t>154971812811</t>
        </is>
      </c>
      <c r="K223" s="4" t="inlineStr">
        <is>
          <t>WTGJP1116V</t>
        </is>
      </c>
      <c r="L223" s="4" t="inlineStr">
        <is>
          <t>397540498726</t>
        </is>
      </c>
      <c r="M223" s="4" t="n">
        <v>25</v>
      </c>
      <c r="N223" s="4" t="n">
        <v>0</v>
      </c>
      <c r="O223" s="4">
        <f>IFERROR(INDEX('01_Customer_Tracker'!$B:$B,MATCH(B223,'01_Customer_Tracker'!$A:$A,0)),"")</f>
        <v/>
      </c>
    </row>
    <row r="224">
      <c r="A224" s="4" t="inlineStr">
        <is>
          <t>E223</t>
        </is>
      </c>
      <c r="B224" s="4" t="inlineStr">
        <is>
          <t>C012</t>
        </is>
      </c>
      <c r="C224" s="4" t="inlineStr">
        <is>
          <t>Dhruv Pillai</t>
        </is>
      </c>
      <c r="D224" s="4" t="inlineStr">
        <is>
          <t>Engineering</t>
        </is>
      </c>
      <c r="E224" s="8" t="n">
        <v>71994</v>
      </c>
      <c r="F224" s="8" t="n">
        <v>28798</v>
      </c>
      <c r="G224" s="8" t="n">
        <v>4531</v>
      </c>
      <c r="H224" s="8" t="n">
        <v>4005</v>
      </c>
      <c r="I224" s="8" t="n">
        <v>4729</v>
      </c>
      <c r="J224" s="4" t="inlineStr">
        <is>
          <t>680404202046</t>
        </is>
      </c>
      <c r="K224" s="4" t="inlineStr">
        <is>
          <t>VMFHQ4114M</t>
        </is>
      </c>
      <c r="L224" s="4" t="inlineStr">
        <is>
          <t>495415055670</t>
        </is>
      </c>
      <c r="M224" s="4" t="n">
        <v>25</v>
      </c>
      <c r="N224" s="4" t="n">
        <v>0</v>
      </c>
      <c r="O224" s="4">
        <f>IFERROR(INDEX('01_Customer_Tracker'!$B:$B,MATCH(B224,'01_Customer_Tracker'!$A:$A,0)),"")</f>
        <v/>
      </c>
    </row>
    <row r="225">
      <c r="A225" s="4" t="inlineStr">
        <is>
          <t>E224</t>
        </is>
      </c>
      <c r="B225" s="4" t="inlineStr">
        <is>
          <t>C041</t>
        </is>
      </c>
      <c r="C225" s="4" t="inlineStr">
        <is>
          <t>Arjun Singh</t>
        </is>
      </c>
      <c r="D225" s="4" t="inlineStr">
        <is>
          <t>Engineering</t>
        </is>
      </c>
      <c r="E225" s="8" t="n">
        <v>53572</v>
      </c>
      <c r="F225" s="8" t="n">
        <v>21429</v>
      </c>
      <c r="G225" s="8" t="n">
        <v>3224</v>
      </c>
      <c r="H225" s="8" t="n">
        <v>66</v>
      </c>
      <c r="I225" s="8" t="n">
        <v>0</v>
      </c>
      <c r="J225" s="4" t="inlineStr">
        <is>
          <t>292016043539</t>
        </is>
      </c>
      <c r="K225" s="4" t="inlineStr">
        <is>
          <t>DGJSI6917X</t>
        </is>
      </c>
      <c r="L225" s="4" t="inlineStr">
        <is>
          <t>606669320200</t>
        </is>
      </c>
      <c r="M225" s="4" t="n">
        <v>28</v>
      </c>
      <c r="N225" s="4" t="n">
        <v>0</v>
      </c>
      <c r="O225" s="4">
        <f>IFERROR(INDEX('01_Customer_Tracker'!$B:$B,MATCH(B225,'01_Customer_Tracker'!$A:$A,0)),"")</f>
        <v/>
      </c>
    </row>
    <row r="226">
      <c r="A226" s="4" t="inlineStr">
        <is>
          <t>E225</t>
        </is>
      </c>
      <c r="B226" s="4" t="inlineStr">
        <is>
          <t>C030</t>
        </is>
      </c>
      <c r="C226" s="4" t="inlineStr">
        <is>
          <t>Varun Gupta</t>
        </is>
      </c>
      <c r="D226" s="4" t="inlineStr">
        <is>
          <t>Engineering</t>
        </is>
      </c>
      <c r="E226" s="8" t="n">
        <v>81153</v>
      </c>
      <c r="F226" s="8" t="n">
        <v>32461</v>
      </c>
      <c r="G226" s="8" t="n">
        <v>7340</v>
      </c>
      <c r="H226" s="8" t="n">
        <v>1923</v>
      </c>
      <c r="I226" s="8" t="n">
        <v>0</v>
      </c>
      <c r="J226" s="4" t="inlineStr">
        <is>
          <t>880629174821</t>
        </is>
      </c>
      <c r="K226" s="4" t="inlineStr">
        <is>
          <t>IHMDZ5606O</t>
        </is>
      </c>
      <c r="L226" s="4" t="inlineStr">
        <is>
          <t>343828354047</t>
        </is>
      </c>
      <c r="M226" s="4" t="n">
        <v>30</v>
      </c>
      <c r="N226" s="4" t="n">
        <v>1</v>
      </c>
      <c r="O226" s="4">
        <f>IFERROR(INDEX('01_Customer_Tracker'!$B:$B,MATCH(B226,'01_Customer_Tracker'!$A:$A,0)),"")</f>
        <v/>
      </c>
    </row>
    <row r="227">
      <c r="A227" s="4" t="inlineStr">
        <is>
          <t>E226</t>
        </is>
      </c>
      <c r="B227" s="4" t="inlineStr">
        <is>
          <t>C031</t>
        </is>
      </c>
      <c r="C227" s="4" t="inlineStr">
        <is>
          <t>Diya Pillai</t>
        </is>
      </c>
      <c r="D227" s="4" t="inlineStr">
        <is>
          <t>Engineering</t>
        </is>
      </c>
      <c r="E227" s="8" t="n">
        <v>22607</v>
      </c>
      <c r="F227" s="8" t="n">
        <v>9043</v>
      </c>
      <c r="G227" s="8" t="n">
        <v>-10003</v>
      </c>
      <c r="H227" s="8" t="n">
        <v>558</v>
      </c>
      <c r="I227" s="8" t="n">
        <v>0</v>
      </c>
      <c r="J227" s="4" t="inlineStr">
        <is>
          <t>52545374390</t>
        </is>
      </c>
      <c r="K227" s="4" t="inlineStr">
        <is>
          <t>ACESH1645A</t>
        </is>
      </c>
      <c r="L227" s="4" t="inlineStr">
        <is>
          <t>404826070078</t>
        </is>
      </c>
      <c r="M227" s="4" t="n">
        <v>27</v>
      </c>
      <c r="N227" s="4" t="n">
        <v>1</v>
      </c>
      <c r="O227" s="4">
        <f>IFERROR(INDEX('01_Customer_Tracker'!$B:$B,MATCH(B227,'01_Customer_Tracker'!$A:$A,0)),"")</f>
        <v/>
      </c>
    </row>
    <row r="228">
      <c r="A228" s="4" t="inlineStr">
        <is>
          <t>E227</t>
        </is>
      </c>
      <c r="B228" s="4" t="inlineStr">
        <is>
          <t>C032</t>
        </is>
      </c>
      <c r="C228" s="4" t="inlineStr">
        <is>
          <t>Krishna Chauhan</t>
        </is>
      </c>
      <c r="D228" s="4" t="inlineStr">
        <is>
          <t>Support</t>
        </is>
      </c>
      <c r="E228" s="8" t="n">
        <v>40843</v>
      </c>
      <c r="F228" s="8" t="n">
        <v>16337</v>
      </c>
      <c r="G228" s="8" t="n">
        <v>11491</v>
      </c>
      <c r="H228" s="8" t="n">
        <v>1061</v>
      </c>
      <c r="I228" s="8" t="n">
        <v>0</v>
      </c>
      <c r="J228" s="4" t="inlineStr">
        <is>
          <t>598814878439</t>
        </is>
      </c>
      <c r="K228" s="4" t="inlineStr">
        <is>
          <t>DEQRS6118S</t>
        </is>
      </c>
      <c r="L228" s="4" t="inlineStr">
        <is>
          <t>837829997366</t>
        </is>
      </c>
      <c r="M228" s="4" t="n">
        <v>25</v>
      </c>
      <c r="N228" s="4" t="n">
        <v>0</v>
      </c>
      <c r="O228" s="4">
        <f>IFERROR(INDEX('01_Customer_Tracker'!$B:$B,MATCH(B228,'01_Customer_Tracker'!$A:$A,0)),"")</f>
        <v/>
      </c>
    </row>
    <row r="229">
      <c r="A229" s="4" t="inlineStr">
        <is>
          <t>E228</t>
        </is>
      </c>
      <c r="B229" s="4" t="inlineStr">
        <is>
          <t>C007</t>
        </is>
      </c>
      <c r="C229" s="4" t="inlineStr">
        <is>
          <t>Riya Gupta</t>
        </is>
      </c>
      <c r="D229" s="4" t="inlineStr">
        <is>
          <t>Operations</t>
        </is>
      </c>
      <c r="E229" s="8" t="n">
        <v>86560</v>
      </c>
      <c r="F229" s="8" t="n">
        <v>34624</v>
      </c>
      <c r="G229" s="8" t="n">
        <v>2605</v>
      </c>
      <c r="H229" s="8" t="n">
        <v>4398</v>
      </c>
      <c r="I229" s="8" t="n">
        <v>3987</v>
      </c>
      <c r="J229" s="4" t="inlineStr">
        <is>
          <t>282878700572</t>
        </is>
      </c>
      <c r="K229" s="4" t="inlineStr">
        <is>
          <t>CCEEV6747A</t>
        </is>
      </c>
      <c r="L229" s="4" t="inlineStr">
        <is>
          <t>478949421695</t>
        </is>
      </c>
      <c r="M229" s="4" t="n">
        <v>28</v>
      </c>
      <c r="N229" s="4" t="n">
        <v>0</v>
      </c>
      <c r="O229" s="4">
        <f>IFERROR(INDEX('01_Customer_Tracker'!$B:$B,MATCH(B229,'01_Customer_Tracker'!$A:$A,0)),"")</f>
        <v/>
      </c>
    </row>
    <row r="230">
      <c r="A230" s="4" t="inlineStr">
        <is>
          <t>E229</t>
        </is>
      </c>
      <c r="B230" s="4" t="inlineStr">
        <is>
          <t>C028</t>
        </is>
      </c>
      <c r="C230" s="4" t="inlineStr">
        <is>
          <t>Anika Kapoor</t>
        </is>
      </c>
      <c r="D230" s="4" t="inlineStr">
        <is>
          <t>Operations</t>
        </is>
      </c>
      <c r="E230" s="8" t="n">
        <v>61512</v>
      </c>
      <c r="F230" s="8" t="n">
        <v>24605</v>
      </c>
      <c r="G230" s="8" t="n">
        <v>9064</v>
      </c>
      <c r="H230" s="8" t="n">
        <v>3585</v>
      </c>
      <c r="I230" s="8" t="n">
        <v>0</v>
      </c>
      <c r="J230" s="4" t="inlineStr">
        <is>
          <t>492112261481</t>
        </is>
      </c>
      <c r="K230" s="4" t="inlineStr">
        <is>
          <t>PAZJT9609M</t>
        </is>
      </c>
      <c r="L230" s="4" t="inlineStr">
        <is>
          <t>531300351599</t>
        </is>
      </c>
      <c r="M230" s="4" t="n">
        <v>24</v>
      </c>
      <c r="N230" s="4" t="n">
        <v>0</v>
      </c>
      <c r="O230" s="4">
        <f>IFERROR(INDEX('01_Customer_Tracker'!$B:$B,MATCH(B230,'01_Customer_Tracker'!$A:$A,0)),"")</f>
        <v/>
      </c>
    </row>
    <row r="231">
      <c r="A231" s="4" t="inlineStr">
        <is>
          <t>E230</t>
        </is>
      </c>
      <c r="B231" s="4" t="inlineStr">
        <is>
          <t>C030</t>
        </is>
      </c>
      <c r="C231" s="4" t="inlineStr">
        <is>
          <t>Vivaan Kapoor</t>
        </is>
      </c>
      <c r="D231" s="4" t="inlineStr">
        <is>
          <t>Operations</t>
        </is>
      </c>
      <c r="E231" s="8" t="n">
        <v>48454</v>
      </c>
      <c r="F231" s="8" t="n">
        <v>19382</v>
      </c>
      <c r="G231" s="8" t="n">
        <v>4187</v>
      </c>
      <c r="H231" s="8" t="n">
        <v>3374</v>
      </c>
      <c r="I231" s="8" t="n">
        <v>0</v>
      </c>
      <c r="J231" s="4" t="inlineStr">
        <is>
          <t>56890135566</t>
        </is>
      </c>
      <c r="K231" s="4" t="inlineStr">
        <is>
          <t>ZXBFA5241P</t>
        </is>
      </c>
      <c r="L231" s="4" t="inlineStr">
        <is>
          <t>164408050055</t>
        </is>
      </c>
      <c r="M231" s="4" t="n">
        <v>24</v>
      </c>
      <c r="N231" s="4" t="n">
        <v>0</v>
      </c>
      <c r="O231" s="4">
        <f>IFERROR(INDEX('01_Customer_Tracker'!$B:$B,MATCH(B231,'01_Customer_Tracker'!$A:$A,0)),"")</f>
        <v/>
      </c>
    </row>
    <row r="232">
      <c r="A232" s="4" t="inlineStr">
        <is>
          <t>E231</t>
        </is>
      </c>
      <c r="B232" s="4" t="inlineStr">
        <is>
          <t>C031</t>
        </is>
      </c>
      <c r="C232" s="4" t="inlineStr">
        <is>
          <t>Siddharth Joshi</t>
        </is>
      </c>
      <c r="D232" s="4" t="inlineStr">
        <is>
          <t>Finance</t>
        </is>
      </c>
      <c r="E232" s="8" t="n">
        <v>73949</v>
      </c>
      <c r="F232" s="8" t="n">
        <v>29580</v>
      </c>
      <c r="G232" s="8" t="n">
        <v>7974</v>
      </c>
      <c r="H232" s="8" t="n">
        <v>2581</v>
      </c>
      <c r="I232" s="8" t="n">
        <v>1751</v>
      </c>
      <c r="J232" s="4" t="inlineStr">
        <is>
          <t>740085840739</t>
        </is>
      </c>
      <c r="K232" s="4" t="inlineStr">
        <is>
          <t>WCCCU3800I</t>
        </is>
      </c>
      <c r="L232" s="4" t="inlineStr">
        <is>
          <t>490632054180</t>
        </is>
      </c>
      <c r="M232" s="4" t="n">
        <v>24</v>
      </c>
      <c r="N232" s="4" t="n">
        <v>0</v>
      </c>
      <c r="O232" s="4">
        <f>IFERROR(INDEX('01_Customer_Tracker'!$B:$B,MATCH(B232,'01_Customer_Tracker'!$A:$A,0)),"")</f>
        <v/>
      </c>
    </row>
    <row r="233">
      <c r="A233" s="4" t="inlineStr">
        <is>
          <t>E178</t>
        </is>
      </c>
      <c r="B233" s="4" t="inlineStr">
        <is>
          <t>C033</t>
        </is>
      </c>
      <c r="C233" s="4" t="inlineStr">
        <is>
          <t>Sai Pillai</t>
        </is>
      </c>
      <c r="D233" s="4" t="inlineStr">
        <is>
          <t>Finance</t>
        </is>
      </c>
      <c r="E233" s="8" t="n">
        <v>60323</v>
      </c>
      <c r="F233" s="8" t="n">
        <v>24129</v>
      </c>
      <c r="G233" s="8" t="n">
        <v>3603</v>
      </c>
      <c r="H233" s="8" t="n">
        <v>4086</v>
      </c>
      <c r="I233" s="8" t="n">
        <v>0</v>
      </c>
      <c r="J233" s="4" t="inlineStr">
        <is>
          <t>850284364209</t>
        </is>
      </c>
      <c r="K233" s="4" t="inlineStr">
        <is>
          <t>XNPFB9496M</t>
        </is>
      </c>
      <c r="L233" s="4" t="inlineStr">
        <is>
          <t>123581335768</t>
        </is>
      </c>
      <c r="M233" s="4" t="n">
        <v>25</v>
      </c>
      <c r="N233" s="4" t="n">
        <v>1</v>
      </c>
      <c r="O233" s="4">
        <f>IFERROR(INDEX('01_Customer_Tracker'!$B:$B,MATCH(B233,'01_Customer_Tracker'!$A:$A,0)),"")</f>
        <v/>
      </c>
    </row>
    <row r="234">
      <c r="A234" s="4" t="inlineStr">
        <is>
          <t>E233</t>
        </is>
      </c>
      <c r="B234" s="4" t="inlineStr">
        <is>
          <t>C012</t>
        </is>
      </c>
      <c r="C234" s="4" t="inlineStr">
        <is>
          <t>Kiara Reddy</t>
        </is>
      </c>
      <c r="D234" s="4" t="inlineStr">
        <is>
          <t>Operations</t>
        </is>
      </c>
      <c r="E234" s="8" t="n">
        <v>40043</v>
      </c>
      <c r="F234" s="8" t="n">
        <v>16017</v>
      </c>
      <c r="G234" s="8" t="n">
        <v>7009</v>
      </c>
      <c r="H234" s="8" t="n">
        <v>1802</v>
      </c>
      <c r="I234" s="8" t="n">
        <v>5298</v>
      </c>
      <c r="J234" s="4" t="inlineStr">
        <is>
          <t>525562901879</t>
        </is>
      </c>
      <c r="K234" s="4" t="inlineStr">
        <is>
          <t>EITVJ2418E</t>
        </is>
      </c>
      <c r="L234" s="4" t="inlineStr">
        <is>
          <t>552695727913</t>
        </is>
      </c>
      <c r="M234" s="4" t="n">
        <v>24</v>
      </c>
      <c r="N234" s="4" t="n">
        <v>0</v>
      </c>
      <c r="O234" s="4">
        <f>IFERROR(INDEX('01_Customer_Tracker'!$B:$B,MATCH(B234,'01_Customer_Tracker'!$A:$A,0)),"")</f>
        <v/>
      </c>
    </row>
    <row r="235">
      <c r="A235" s="4" t="inlineStr">
        <is>
          <t>E234</t>
        </is>
      </c>
      <c r="B235" s="4" t="inlineStr">
        <is>
          <t>C012</t>
        </is>
      </c>
      <c r="C235" s="4" t="inlineStr">
        <is>
          <t>Tanvi Menon</t>
        </is>
      </c>
      <c r="D235" s="4" t="inlineStr">
        <is>
          <t>Engineering</t>
        </is>
      </c>
      <c r="E235" s="8" t="n">
        <v>59221</v>
      </c>
      <c r="F235" s="8" t="n">
        <v>23688</v>
      </c>
      <c r="G235" s="8" t="n">
        <v>10766</v>
      </c>
      <c r="H235" s="8" t="n">
        <v>3665</v>
      </c>
      <c r="I235" s="8" t="n">
        <v>0</v>
      </c>
      <c r="J235" s="4" t="inlineStr">
        <is>
          <t>42538993563</t>
        </is>
      </c>
      <c r="K235" s="4" t="inlineStr">
        <is>
          <t>NDXBA3960F</t>
        </is>
      </c>
      <c r="L235" s="4" t="inlineStr">
        <is>
          <t>420685735290</t>
        </is>
      </c>
      <c r="M235" s="4" t="n">
        <v>27</v>
      </c>
      <c r="N235" s="4" t="n">
        <v>0</v>
      </c>
      <c r="O235" s="4">
        <f>IFERROR(INDEX('01_Customer_Tracker'!$B:$B,MATCH(B235,'01_Customer_Tracker'!$A:$A,0)),"")</f>
        <v/>
      </c>
    </row>
    <row r="236">
      <c r="A236" s="4" t="inlineStr">
        <is>
          <t>E235</t>
        </is>
      </c>
      <c r="B236" s="4" t="inlineStr">
        <is>
          <t>C032</t>
        </is>
      </c>
      <c r="C236" s="4" t="inlineStr">
        <is>
          <t>Siddharth Kapoor</t>
        </is>
      </c>
      <c r="D236" s="4" t="inlineStr">
        <is>
          <t>Finance</t>
        </is>
      </c>
      <c r="E236" s="8" t="n">
        <v>65845</v>
      </c>
      <c r="F236" s="8" t="n">
        <v>26338</v>
      </c>
      <c r="G236" s="8" t="n">
        <v>3329</v>
      </c>
      <c r="H236" s="8" t="n">
        <v>3512</v>
      </c>
      <c r="I236" s="8" t="n">
        <v>1070</v>
      </c>
      <c r="J236" s="4" t="inlineStr">
        <is>
          <t>589296343424</t>
        </is>
      </c>
      <c r="K236" s="4" t="inlineStr">
        <is>
          <t>JWPDI7203I</t>
        </is>
      </c>
      <c r="L236" s="4" t="inlineStr">
        <is>
          <t>724640511866</t>
        </is>
      </c>
      <c r="M236" s="4" t="n">
        <v>26</v>
      </c>
      <c r="N236" s="4" t="n">
        <v>1</v>
      </c>
      <c r="O236" s="4">
        <f>IFERROR(INDEX('01_Customer_Tracker'!$B:$B,MATCH(B236,'01_Customer_Tracker'!$A:$A,0)),"")</f>
        <v/>
      </c>
    </row>
    <row r="237">
      <c r="A237" s="4" t="inlineStr">
        <is>
          <t>E236</t>
        </is>
      </c>
      <c r="B237" s="4" t="inlineStr">
        <is>
          <t>C035</t>
        </is>
      </c>
      <c r="C237" s="4" t="inlineStr">
        <is>
          <t>Kiara Mehta</t>
        </is>
      </c>
      <c r="D237" s="4" t="inlineStr">
        <is>
          <t>Engineering</t>
        </is>
      </c>
      <c r="E237" s="8" t="n">
        <v>81952</v>
      </c>
      <c r="F237" s="8" t="n">
        <v>32781</v>
      </c>
      <c r="G237" s="8" t="n">
        <v>7042</v>
      </c>
      <c r="H237" s="8" t="n">
        <v>238</v>
      </c>
      <c r="I237" s="8" t="n">
        <v>0</v>
      </c>
      <c r="J237" s="4" t="inlineStr">
        <is>
          <t>171546375493</t>
        </is>
      </c>
      <c r="K237" s="4" t="inlineStr">
        <is>
          <t>JNSLP1091R</t>
        </is>
      </c>
      <c r="L237" s="4" t="inlineStr">
        <is>
          <t>509432704600</t>
        </is>
      </c>
      <c r="M237" s="4" t="n">
        <v>30</v>
      </c>
      <c r="N237" s="4" t="n">
        <v>0</v>
      </c>
      <c r="O237" s="4">
        <f>IFERROR(INDEX('01_Customer_Tracker'!$B:$B,MATCH(B237,'01_Customer_Tracker'!$A:$A,0)),"")</f>
        <v/>
      </c>
    </row>
    <row r="238">
      <c r="A238" s="4" t="inlineStr">
        <is>
          <t>E237</t>
        </is>
      </c>
      <c r="B238" s="4" t="inlineStr">
        <is>
          <t>C017</t>
        </is>
      </c>
      <c r="C238" s="4" t="inlineStr">
        <is>
          <t>Vivaan Nair</t>
        </is>
      </c>
      <c r="D238" s="4" t="inlineStr">
        <is>
          <t>Engineering</t>
        </is>
      </c>
      <c r="E238" s="8" t="n">
        <v>79970</v>
      </c>
      <c r="F238" s="8" t="n">
        <v>31988</v>
      </c>
      <c r="G238" s="8" t="n">
        <v>6567</v>
      </c>
      <c r="H238" s="8" t="n">
        <v>5900</v>
      </c>
      <c r="I238" s="8" t="n">
        <v>0</v>
      </c>
      <c r="J238" s="4" t="inlineStr">
        <is>
          <t>210651009988</t>
        </is>
      </c>
      <c r="K238" s="4" t="inlineStr">
        <is>
          <t>ORZOY9499N</t>
        </is>
      </c>
      <c r="L238" s="4" t="inlineStr">
        <is>
          <t>341662282875</t>
        </is>
      </c>
      <c r="M238" s="4" t="n">
        <v>27</v>
      </c>
      <c r="N238" s="4" t="n">
        <v>1</v>
      </c>
      <c r="O238" s="4">
        <f>IFERROR(INDEX('01_Customer_Tracker'!$B:$B,MATCH(B238,'01_Customer_Tracker'!$A:$A,0)),"")</f>
        <v/>
      </c>
    </row>
    <row r="239">
      <c r="A239" s="4" t="inlineStr">
        <is>
          <t>E238</t>
        </is>
      </c>
      <c r="B239" s="4" t="inlineStr">
        <is>
          <t>C021</t>
        </is>
      </c>
      <c r="C239" s="4" t="inlineStr">
        <is>
          <t>Advait Iyer</t>
        </is>
      </c>
      <c r="D239" s="4" t="inlineStr">
        <is>
          <t>Marketing</t>
        </is>
      </c>
      <c r="E239" s="8" t="n">
        <v>63711</v>
      </c>
      <c r="F239" s="8" t="n">
        <v>25484</v>
      </c>
      <c r="G239" s="8" t="n">
        <v>1797</v>
      </c>
      <c r="H239" s="8" t="n">
        <v>1259</v>
      </c>
      <c r="I239" s="8" t="n">
        <v>0</v>
      </c>
      <c r="J239" s="4" t="inlineStr">
        <is>
          <t>84033718885</t>
        </is>
      </c>
      <c r="K239" s="4" t="inlineStr">
        <is>
          <t>TSCBR5303Q</t>
        </is>
      </c>
      <c r="L239" s="4" t="inlineStr">
        <is>
          <t>161944673784</t>
        </is>
      </c>
      <c r="M239" s="4" t="n">
        <v>27</v>
      </c>
      <c r="N239" s="4" t="n">
        <v>0</v>
      </c>
      <c r="O239" s="4">
        <f>IFERROR(INDEX('01_Customer_Tracker'!$B:$B,MATCH(B239,'01_Customer_Tracker'!$A:$A,0)),"")</f>
        <v/>
      </c>
    </row>
    <row r="240">
      <c r="A240" s="4" t="inlineStr">
        <is>
          <t>E239</t>
        </is>
      </c>
      <c r="B240" s="4" t="inlineStr">
        <is>
          <t>C002</t>
        </is>
      </c>
      <c r="C240" s="4" t="inlineStr">
        <is>
          <t>Tanvi Kapoor</t>
        </is>
      </c>
      <c r="D240" s="4" t="inlineStr">
        <is>
          <t>Marketing</t>
        </is>
      </c>
      <c r="E240" s="8" t="n">
        <v>18742</v>
      </c>
      <c r="F240" s="8" t="n">
        <v>7497</v>
      </c>
      <c r="G240" s="8" t="n">
        <v>10718</v>
      </c>
      <c r="H240" s="8" t="n">
        <v>1223</v>
      </c>
      <c r="I240" s="8" t="n">
        <v>0</v>
      </c>
      <c r="J240" s="4" t="inlineStr">
        <is>
          <t>259193535331</t>
        </is>
      </c>
      <c r="K240" s="4" t="inlineStr">
        <is>
          <t>VWNSC8099R</t>
        </is>
      </c>
      <c r="L240" s="4" t="inlineStr">
        <is>
          <t>220579497305</t>
        </is>
      </c>
      <c r="M240" s="4" t="n">
        <v>27</v>
      </c>
      <c r="N240" s="4" t="n">
        <v>1</v>
      </c>
      <c r="O240" s="4">
        <f>IFERROR(INDEX('01_Customer_Tracker'!$B:$B,MATCH(B240,'01_Customer_Tracker'!$A:$A,0)),"")</f>
        <v/>
      </c>
    </row>
    <row r="241">
      <c r="A241" s="4" t="inlineStr">
        <is>
          <t>E240</t>
        </is>
      </c>
      <c r="B241" s="4" t="inlineStr">
        <is>
          <t>C008</t>
        </is>
      </c>
      <c r="C241" s="4" t="inlineStr">
        <is>
          <t>Navya Nair</t>
        </is>
      </c>
      <c r="D241" s="4" t="inlineStr">
        <is>
          <t>HR</t>
        </is>
      </c>
      <c r="E241" s="8" t="n">
        <v>32406</v>
      </c>
      <c r="F241" s="8" t="n">
        <v>12962</v>
      </c>
      <c r="G241" s="8" t="n">
        <v>6068</v>
      </c>
      <c r="H241" s="8" t="n">
        <v>1607</v>
      </c>
      <c r="I241" s="8" t="n">
        <v>0</v>
      </c>
      <c r="J241" s="4" t="inlineStr">
        <is>
          <t>66729924995</t>
        </is>
      </c>
      <c r="K241" s="4" t="inlineStr">
        <is>
          <t>BWHWM4080H</t>
        </is>
      </c>
      <c r="L241" s="4" t="inlineStr">
        <is>
          <t>462351728532</t>
        </is>
      </c>
      <c r="M241" s="4" t="n">
        <v>28</v>
      </c>
      <c r="N241" s="4" t="n">
        <v>1</v>
      </c>
      <c r="O241" s="4">
        <f>IFERROR(INDEX('01_Customer_Tracker'!$B:$B,MATCH(B241,'01_Customer_Tracker'!$A:$A,0)),"")</f>
        <v/>
      </c>
    </row>
    <row r="242">
      <c r="A242" s="4" t="inlineStr">
        <is>
          <t>E241</t>
        </is>
      </c>
      <c r="B242" s="4" t="inlineStr">
        <is>
          <t>C006</t>
        </is>
      </c>
      <c r="C242" s="4" t="inlineStr">
        <is>
          <t>Dhruv Desai</t>
        </is>
      </c>
      <c r="D242" s="4" t="inlineStr">
        <is>
          <t>Engineering</t>
        </is>
      </c>
      <c r="E242" s="8" t="n">
        <v>80429</v>
      </c>
      <c r="F242" s="8" t="n">
        <v>32172</v>
      </c>
      <c r="G242" s="8" t="n">
        <v>10723</v>
      </c>
      <c r="H242" s="8" t="n">
        <v>4452</v>
      </c>
      <c r="I242" s="8" t="n">
        <v>0</v>
      </c>
      <c r="J242" s="4" t="inlineStr">
        <is>
          <t>566902839547</t>
        </is>
      </c>
      <c r="K242" s="4" t="inlineStr">
        <is>
          <t>YEOXZ5032G</t>
        </is>
      </c>
      <c r="L242" s="4" t="inlineStr">
        <is>
          <t>168353529314</t>
        </is>
      </c>
      <c r="M242" s="4" t="n">
        <v>0</v>
      </c>
      <c r="N242" s="4" t="n">
        <v>0</v>
      </c>
      <c r="O242" s="4">
        <f>IFERROR(INDEX('01_Customer_Tracker'!$B:$B,MATCH(B242,'01_Customer_Tracker'!$A:$A,0)),"")</f>
        <v/>
      </c>
    </row>
    <row r="243">
      <c r="A243" s="4" t="inlineStr">
        <is>
          <t>E242</t>
        </is>
      </c>
      <c r="B243" s="4" t="inlineStr">
        <is>
          <t>C017</t>
        </is>
      </c>
      <c r="C243" s="4" t="inlineStr">
        <is>
          <t>Yash Mehta</t>
        </is>
      </c>
      <c r="D243" s="4" t="inlineStr">
        <is>
          <t>Operations</t>
        </is>
      </c>
      <c r="E243" s="8" t="n">
        <v>48037</v>
      </c>
      <c r="F243" s="8" t="n">
        <v>19215</v>
      </c>
      <c r="G243" s="8" t="n">
        <v>1574</v>
      </c>
      <c r="H243" s="8" t="n">
        <v>2284</v>
      </c>
      <c r="I243" s="8" t="n">
        <v>3577</v>
      </c>
      <c r="J243" s="4" t="inlineStr">
        <is>
          <t>195979962710</t>
        </is>
      </c>
      <c r="K243" s="4" t="inlineStr">
        <is>
          <t>BBWJC8909D</t>
        </is>
      </c>
      <c r="L243" s="4" t="inlineStr">
        <is>
          <t>711166789106</t>
        </is>
      </c>
      <c r="M243" s="4" t="n">
        <v>26</v>
      </c>
      <c r="N243" s="4" t="n">
        <v>0</v>
      </c>
      <c r="O243" s="4">
        <f>IFERROR(INDEX('01_Customer_Tracker'!$B:$B,MATCH(B243,'01_Customer_Tracker'!$A:$A,0)),"")</f>
        <v/>
      </c>
    </row>
    <row r="244">
      <c r="A244" s="4" t="inlineStr">
        <is>
          <t>E243</t>
        </is>
      </c>
      <c r="B244" s="4" t="inlineStr">
        <is>
          <t>C025</t>
        </is>
      </c>
      <c r="C244" s="4" t="inlineStr">
        <is>
          <t>Ananya Patel</t>
        </is>
      </c>
      <c r="D244" s="4" t="inlineStr">
        <is>
          <t>Marketing</t>
        </is>
      </c>
      <c r="E244" s="8" t="n">
        <v>76623</v>
      </c>
      <c r="F244" s="8" t="n">
        <v>30649</v>
      </c>
      <c r="G244" s="8" t="n">
        <v>1890</v>
      </c>
      <c r="H244" s="8" t="n">
        <v>4240</v>
      </c>
      <c r="I244" s="8" t="n">
        <v>0</v>
      </c>
      <c r="J244" s="4" t="inlineStr">
        <is>
          <t>10982539410</t>
        </is>
      </c>
      <c r="K244" s="4" t="inlineStr">
        <is>
          <t>AAEZQ8039H</t>
        </is>
      </c>
      <c r="L244" s="4" t="inlineStr">
        <is>
          <t>912072884425</t>
        </is>
      </c>
      <c r="M244" s="4" t="n">
        <v>30</v>
      </c>
      <c r="N244" s="4" t="n">
        <v>0</v>
      </c>
      <c r="O244" s="4">
        <f>IFERROR(INDEX('01_Customer_Tracker'!$B:$B,MATCH(B244,'01_Customer_Tracker'!$A:$A,0)),"")</f>
        <v/>
      </c>
    </row>
    <row r="245">
      <c r="A245" s="4" t="inlineStr">
        <is>
          <t>E244</t>
        </is>
      </c>
      <c r="B245" s="4" t="inlineStr">
        <is>
          <t>C030</t>
        </is>
      </c>
      <c r="C245" s="4" t="inlineStr">
        <is>
          <t>Pooja Nair</t>
        </is>
      </c>
      <c r="D245" s="4" t="inlineStr">
        <is>
          <t>Finance</t>
        </is>
      </c>
      <c r="E245" s="8" t="n">
        <v>50348</v>
      </c>
      <c r="F245" s="8" t="n">
        <v>20139</v>
      </c>
      <c r="G245" s="8" t="n">
        <v>9790</v>
      </c>
      <c r="H245" s="8" t="n">
        <v>1404</v>
      </c>
      <c r="I245" s="8" t="n">
        <v>40</v>
      </c>
      <c r="J245" s="4" t="inlineStr">
        <is>
          <t>753810538032</t>
        </is>
      </c>
      <c r="K245" s="4" t="inlineStr">
        <is>
          <t>CUBQK3711M</t>
        </is>
      </c>
      <c r="L245" s="4" t="inlineStr">
        <is>
          <t>970087567276</t>
        </is>
      </c>
      <c r="M245" s="4" t="n">
        <v>26</v>
      </c>
      <c r="N245" s="4" t="n">
        <v>0</v>
      </c>
      <c r="O245" s="4">
        <f>IFERROR(INDEX('01_Customer_Tracker'!$B:$B,MATCH(B245,'01_Customer_Tracker'!$A:$A,0)),"")</f>
        <v/>
      </c>
    </row>
    <row r="246">
      <c r="A246" s="4" t="inlineStr">
        <is>
          <t>E245</t>
        </is>
      </c>
      <c r="B246" s="4" t="inlineStr">
        <is>
          <t>C002</t>
        </is>
      </c>
      <c r="C246" s="4" t="inlineStr">
        <is>
          <t>Kabir Mehta</t>
        </is>
      </c>
      <c r="D246" s="4" t="inlineStr">
        <is>
          <t>Support</t>
        </is>
      </c>
      <c r="E246" s="8" t="n">
        <v>56424</v>
      </c>
      <c r="F246" s="8" t="n">
        <v>22570</v>
      </c>
      <c r="G246" s="8" t="n">
        <v>-6415</v>
      </c>
      <c r="H246" s="8" t="n">
        <v>1848</v>
      </c>
      <c r="I246" s="8" t="n">
        <v>0</v>
      </c>
      <c r="J246" s="4" t="inlineStr">
        <is>
          <t>438012068539</t>
        </is>
      </c>
      <c r="K246" s="4" t="inlineStr">
        <is>
          <t>UVLXE9388H</t>
        </is>
      </c>
      <c r="L246" s="4" t="inlineStr">
        <is>
          <t>497933701717</t>
        </is>
      </c>
      <c r="M246" s="4" t="n">
        <v>27</v>
      </c>
      <c r="N246" s="4" t="n">
        <v>0</v>
      </c>
      <c r="O246" s="4">
        <f>IFERROR(INDEX('01_Customer_Tracker'!$B:$B,MATCH(B246,'01_Customer_Tracker'!$A:$A,0)),"")</f>
        <v/>
      </c>
    </row>
    <row r="247">
      <c r="A247" s="4" t="inlineStr">
        <is>
          <t>E246</t>
        </is>
      </c>
      <c r="B247" s="4" t="inlineStr">
        <is>
          <t>C047</t>
        </is>
      </c>
      <c r="C247" s="4" t="inlineStr">
        <is>
          <t>Vihaan Pillai</t>
        </is>
      </c>
      <c r="D247" s="4" t="inlineStr">
        <is>
          <t>Marketing</t>
        </is>
      </c>
      <c r="E247" s="8" t="n">
        <v>57223</v>
      </c>
      <c r="F247" s="8" t="n">
        <v>22889</v>
      </c>
      <c r="G247" s="8" t="n">
        <v>-7246</v>
      </c>
      <c r="H247" s="8" t="n">
        <v>3203</v>
      </c>
      <c r="I247" s="8" t="n">
        <v>0</v>
      </c>
      <c r="J247" s="4" t="inlineStr">
        <is>
          <t>679629838949</t>
        </is>
      </c>
      <c r="K247" s="4" t="inlineStr">
        <is>
          <t>HTUFQ5484H</t>
        </is>
      </c>
      <c r="L247" s="4" t="inlineStr">
        <is>
          <t>102230137771</t>
        </is>
      </c>
      <c r="M247" s="4" t="n">
        <v>28</v>
      </c>
      <c r="N247" s="4" t="n">
        <v>0</v>
      </c>
      <c r="O247" s="4">
        <f>IFERROR(INDEX('01_Customer_Tracker'!$B:$B,MATCH(B247,'01_Customer_Tracker'!$A:$A,0)),"")</f>
        <v/>
      </c>
    </row>
    <row r="248">
      <c r="A248" s="4" t="inlineStr">
        <is>
          <t>E247</t>
        </is>
      </c>
      <c r="B248" s="4" t="inlineStr">
        <is>
          <t>C048</t>
        </is>
      </c>
      <c r="C248" s="4" t="inlineStr">
        <is>
          <t>Dhruv Bhatia</t>
        </is>
      </c>
      <c r="D248" s="4" t="inlineStr">
        <is>
          <t>Operations</t>
        </is>
      </c>
      <c r="E248" s="8" t="n">
        <v>24685</v>
      </c>
      <c r="F248" s="8" t="n">
        <v>9874</v>
      </c>
      <c r="G248" s="8" t="n">
        <v>7500</v>
      </c>
      <c r="H248" s="8" t="n">
        <v>1611</v>
      </c>
      <c r="I248" s="8" t="n">
        <v>0</v>
      </c>
      <c r="J248" s="4" t="inlineStr">
        <is>
          <t>760716548028</t>
        </is>
      </c>
      <c r="K248" s="4" t="inlineStr">
        <is>
          <t>IKKWX4725Z</t>
        </is>
      </c>
      <c r="L248" s="4" t="inlineStr">
        <is>
          <t>100578073329</t>
        </is>
      </c>
      <c r="M248" s="4" t="n">
        <v>27</v>
      </c>
      <c r="N248" s="4" t="n">
        <v>0</v>
      </c>
      <c r="O248" s="4">
        <f>IFERROR(INDEX('01_Customer_Tracker'!$B:$B,MATCH(B248,'01_Customer_Tracker'!$A:$A,0)),"")</f>
        <v/>
      </c>
    </row>
    <row r="249">
      <c r="A249" s="4" t="inlineStr">
        <is>
          <t>E248</t>
        </is>
      </c>
      <c r="B249" s="4" t="inlineStr">
        <is>
          <t>C010</t>
        </is>
      </c>
      <c r="C249" s="4" t="inlineStr">
        <is>
          <t>Rahul Rao</t>
        </is>
      </c>
      <c r="D249" s="4" t="inlineStr">
        <is>
          <t>Engineering</t>
        </is>
      </c>
      <c r="E249" s="8" t="n">
        <v>57533</v>
      </c>
      <c r="F249" s="8" t="n">
        <v>23013</v>
      </c>
      <c r="G249" s="8" t="n">
        <v>-9299</v>
      </c>
      <c r="H249" s="8" t="n">
        <v>2285</v>
      </c>
      <c r="I249" s="8" t="n">
        <v>0</v>
      </c>
      <c r="J249" s="4" t="inlineStr">
        <is>
          <t>684558989992</t>
        </is>
      </c>
      <c r="K249" s="4" t="inlineStr">
        <is>
          <t>MHNYP7364D</t>
        </is>
      </c>
      <c r="L249" s="4" t="inlineStr">
        <is>
          <t>974135184641</t>
        </is>
      </c>
      <c r="M249" s="4" t="n">
        <v>30</v>
      </c>
      <c r="N249" s="4" t="n">
        <v>0</v>
      </c>
      <c r="O249" s="4">
        <f>IFERROR(INDEX('01_Customer_Tracker'!$B:$B,MATCH(B249,'01_Customer_Tracker'!$A:$A,0)),"")</f>
        <v/>
      </c>
    </row>
    <row r="250">
      <c r="A250" s="4" t="inlineStr">
        <is>
          <t>E249</t>
        </is>
      </c>
      <c r="B250" s="4" t="inlineStr">
        <is>
          <t>C025</t>
        </is>
      </c>
      <c r="C250" s="4" t="inlineStr">
        <is>
          <t>Karan Menon</t>
        </is>
      </c>
      <c r="D250" s="4" t="inlineStr">
        <is>
          <t>Marketing</t>
        </is>
      </c>
      <c r="E250" s="8" t="n">
        <v>60707</v>
      </c>
      <c r="F250" s="8" t="n">
        <v>24283</v>
      </c>
      <c r="G250" s="8" t="n">
        <v>10412</v>
      </c>
      <c r="H250" s="8" t="n">
        <v>836</v>
      </c>
      <c r="I250" s="8" t="n">
        <v>0</v>
      </c>
      <c r="J250" s="4" t="inlineStr">
        <is>
          <t>767722757169</t>
        </is>
      </c>
      <c r="K250" s="4" t="inlineStr">
        <is>
          <t>NNPWV1986P</t>
        </is>
      </c>
      <c r="L250" s="4" t="inlineStr">
        <is>
          <t>555367976733</t>
        </is>
      </c>
      <c r="M250" s="4" t="n">
        <v>26</v>
      </c>
      <c r="N250" s="4" t="n">
        <v>0</v>
      </c>
      <c r="O250" s="4">
        <f>IFERROR(INDEX('01_Customer_Tracker'!$B:$B,MATCH(B250,'01_Customer_Tracker'!$A:$A,0)),"")</f>
        <v/>
      </c>
    </row>
    <row r="251">
      <c r="A251" s="4" t="inlineStr">
        <is>
          <t>E250</t>
        </is>
      </c>
      <c r="B251" s="4" t="inlineStr">
        <is>
          <t>C029</t>
        </is>
      </c>
      <c r="C251" s="4" t="inlineStr">
        <is>
          <t>Advait Gupta</t>
        </is>
      </c>
      <c r="D251" s="4" t="inlineStr">
        <is>
          <t>Marketing</t>
        </is>
      </c>
      <c r="E251" s="8" t="n">
        <v>26514</v>
      </c>
      <c r="F251" s="8" t="n">
        <v>10606</v>
      </c>
      <c r="G251" s="8" t="n">
        <v>5472</v>
      </c>
      <c r="H251" s="8" t="n">
        <v>1776</v>
      </c>
      <c r="I251" s="8" t="n">
        <v>0</v>
      </c>
      <c r="J251" s="4" t="inlineStr">
        <is>
          <t>58235202485</t>
        </is>
      </c>
      <c r="K251" s="4" t="inlineStr">
        <is>
          <t>ZAAMA2479Q</t>
        </is>
      </c>
      <c r="L251" s="4" t="inlineStr">
        <is>
          <t>815791116274</t>
        </is>
      </c>
      <c r="M251" s="4" t="n">
        <v>28</v>
      </c>
      <c r="N251" s="4" t="n">
        <v>2</v>
      </c>
      <c r="O251" s="4">
        <f>IFERROR(INDEX('01_Customer_Tracker'!$B:$B,MATCH(B251,'01_Customer_Tracker'!$A:$A,0)),"")</f>
        <v/>
      </c>
    </row>
    <row r="252">
      <c r="A252" s="4" t="inlineStr">
        <is>
          <t>E251</t>
        </is>
      </c>
      <c r="B252" s="4" t="inlineStr">
        <is>
          <t>C028</t>
        </is>
      </c>
      <c r="C252" s="4" t="inlineStr">
        <is>
          <t>Aryan Pillai</t>
        </is>
      </c>
      <c r="D252" s="4" t="inlineStr">
        <is>
          <t>Sales</t>
        </is>
      </c>
      <c r="E252" s="8" t="n">
        <v>32314</v>
      </c>
      <c r="F252" s="8" t="n">
        <v>12926</v>
      </c>
      <c r="G252" s="8" t="n">
        <v>4687</v>
      </c>
      <c r="H252" s="8" t="n">
        <v>882</v>
      </c>
      <c r="I252" s="8" t="n">
        <v>0</v>
      </c>
      <c r="J252" s="4" t="inlineStr">
        <is>
          <t>887029808191</t>
        </is>
      </c>
      <c r="K252" s="4" t="inlineStr">
        <is>
          <t>XLFDI6878M</t>
        </is>
      </c>
      <c r="L252" s="4" t="inlineStr">
        <is>
          <t>532072067674</t>
        </is>
      </c>
      <c r="M252" s="4" t="n">
        <v>30</v>
      </c>
      <c r="N252" s="4" t="n">
        <v>2</v>
      </c>
      <c r="O252" s="4">
        <f>IFERROR(INDEX('01_Customer_Tracker'!$B:$B,MATCH(B252,'01_Customer_Tracker'!$A:$A,0)),"")</f>
        <v/>
      </c>
    </row>
    <row r="253">
      <c r="A253" s="4" t="inlineStr">
        <is>
          <t>E252</t>
        </is>
      </c>
      <c r="B253" s="4" t="inlineStr">
        <is>
          <t>C003</t>
        </is>
      </c>
      <c r="C253" s="4" t="inlineStr">
        <is>
          <t>Rohan Agarwal</t>
        </is>
      </c>
      <c r="D253" s="4" t="inlineStr">
        <is>
          <t>Finance</t>
        </is>
      </c>
      <c r="E253" s="8" t="n">
        <v>79776</v>
      </c>
      <c r="F253" s="8" t="n">
        <v>31910</v>
      </c>
      <c r="G253" s="8" t="n">
        <v>8290</v>
      </c>
      <c r="H253" s="8" t="n">
        <v>3530</v>
      </c>
      <c r="I253" s="8" t="n">
        <v>886</v>
      </c>
      <c r="J253" s="4" t="inlineStr">
        <is>
          <t>299543027758</t>
        </is>
      </c>
      <c r="K253" s="4" t="inlineStr">
        <is>
          <t>NBUYM5823Y</t>
        </is>
      </c>
      <c r="L253" s="4" t="inlineStr">
        <is>
          <t>660422209919</t>
        </is>
      </c>
      <c r="M253" s="4" t="n">
        <v>26</v>
      </c>
      <c r="N253" s="4" t="n">
        <v>0</v>
      </c>
      <c r="O253" s="4">
        <f>IFERROR(INDEX('01_Customer_Tracker'!$B:$B,MATCH(B253,'01_Customer_Tracker'!$A:$A,0)),"")</f>
        <v/>
      </c>
    </row>
    <row r="254">
      <c r="A254" s="4" t="inlineStr">
        <is>
          <t>E253</t>
        </is>
      </c>
      <c r="B254" s="4" t="inlineStr">
        <is>
          <t>C023</t>
        </is>
      </c>
      <c r="C254" s="4" t="inlineStr">
        <is>
          <t>Kabir Bhatia</t>
        </is>
      </c>
      <c r="D254" s="4" t="inlineStr">
        <is>
          <t>Finance</t>
        </is>
      </c>
      <c r="E254" s="8" t="n">
        <v>20688</v>
      </c>
      <c r="F254" s="8" t="n">
        <v>8275</v>
      </c>
      <c r="G254" s="8" t="n">
        <v>10997</v>
      </c>
      <c r="H254" s="8" t="n">
        <v>1470</v>
      </c>
      <c r="I254" s="8" t="n">
        <v>0</v>
      </c>
      <c r="J254" s="4" t="inlineStr">
        <is>
          <t>814068646331</t>
        </is>
      </c>
      <c r="K254" s="4" t="inlineStr">
        <is>
          <t>EUWAM6089V</t>
        </is>
      </c>
      <c r="L254" s="4" t="inlineStr">
        <is>
          <t>376096675219</t>
        </is>
      </c>
      <c r="M254" s="4" t="n">
        <v>25</v>
      </c>
      <c r="N254" s="4" t="n">
        <v>2</v>
      </c>
      <c r="O254" s="4">
        <f>IFERROR(INDEX('01_Customer_Tracker'!$B:$B,MATCH(B254,'01_Customer_Tracker'!$A:$A,0)),"")</f>
        <v/>
      </c>
    </row>
    <row r="255">
      <c r="A255" s="4" t="inlineStr">
        <is>
          <t>E254</t>
        </is>
      </c>
      <c r="B255" s="4" t="inlineStr">
        <is>
          <t>C011</t>
        </is>
      </c>
      <c r="C255" s="4" t="inlineStr">
        <is>
          <t>Rohan Patel</t>
        </is>
      </c>
      <c r="D255" s="4" t="inlineStr">
        <is>
          <t>Marketing</t>
        </is>
      </c>
      <c r="E255" s="8" t="n">
        <v>48429</v>
      </c>
      <c r="F255" s="8" t="n">
        <v>19372</v>
      </c>
      <c r="G255" s="8" t="n">
        <v>4460</v>
      </c>
      <c r="H255" s="8" t="n">
        <v>1248</v>
      </c>
      <c r="I255" s="8" t="n">
        <v>0</v>
      </c>
      <c r="J255" s="4" t="inlineStr">
        <is>
          <t>821903697335</t>
        </is>
      </c>
      <c r="K255" s="4" t="inlineStr">
        <is>
          <t>KGSTE1663B</t>
        </is>
      </c>
      <c r="L255" s="4" t="inlineStr">
        <is>
          <t>812820918546</t>
        </is>
      </c>
      <c r="M255" s="4" t="n">
        <v>29</v>
      </c>
      <c r="N255" s="4" t="n">
        <v>0</v>
      </c>
      <c r="O255" s="4">
        <f>IFERROR(INDEX('01_Customer_Tracker'!$B:$B,MATCH(B255,'01_Customer_Tracker'!$A:$A,0)),"")</f>
        <v/>
      </c>
    </row>
    <row r="256">
      <c r="A256" s="4" t="inlineStr">
        <is>
          <t>E255</t>
        </is>
      </c>
      <c r="B256" s="4" t="inlineStr">
        <is>
          <t>C016</t>
        </is>
      </c>
      <c r="C256" s="4" t="inlineStr">
        <is>
          <t>Aryan Rao</t>
        </is>
      </c>
      <c r="D256" s="4" t="inlineStr">
        <is>
          <t>Operations</t>
        </is>
      </c>
      <c r="E256" s="8" t="n">
        <v>83635</v>
      </c>
      <c r="F256" s="8" t="n">
        <v>33454</v>
      </c>
      <c r="G256" s="8" t="n">
        <v>10945</v>
      </c>
      <c r="H256" s="8" t="n">
        <v>5356</v>
      </c>
      <c r="I256" s="8" t="n">
        <v>0</v>
      </c>
      <c r="J256" s="4" t="inlineStr">
        <is>
          <t>489371379136</t>
        </is>
      </c>
      <c r="K256" s="4" t="inlineStr">
        <is>
          <t>TUKHL8234B</t>
        </is>
      </c>
      <c r="L256" s="4" t="inlineStr">
        <is>
          <t>825391524146</t>
        </is>
      </c>
      <c r="M256" s="4" t="n">
        <v>26</v>
      </c>
      <c r="N256" s="4" t="n">
        <v>0</v>
      </c>
      <c r="O256" s="4">
        <f>IFERROR(INDEX('01_Customer_Tracker'!$B:$B,MATCH(B256,'01_Customer_Tracker'!$A:$A,0)),"")</f>
        <v/>
      </c>
    </row>
    <row r="257">
      <c r="A257" s="4" t="inlineStr">
        <is>
          <t>E256</t>
        </is>
      </c>
      <c r="B257" s="4" t="inlineStr">
        <is>
          <t>C047</t>
        </is>
      </c>
      <c r="C257" s="4" t="inlineStr">
        <is>
          <t>Vivaan Kapoor</t>
        </is>
      </c>
      <c r="D257" s="4" t="inlineStr">
        <is>
          <t>Marketing</t>
        </is>
      </c>
      <c r="E257" s="8" t="n">
        <v>57542</v>
      </c>
      <c r="F257" s="8" t="n">
        <v>23017</v>
      </c>
      <c r="G257" s="8" t="n">
        <v>10629</v>
      </c>
      <c r="H257" s="8" t="n">
        <v>3418</v>
      </c>
      <c r="I257" s="8" t="n">
        <v>0</v>
      </c>
      <c r="J257" s="4" t="inlineStr">
        <is>
          <t>443933146319</t>
        </is>
      </c>
      <c r="K257" s="4" t="inlineStr">
        <is>
          <t>WRHGD1037N</t>
        </is>
      </c>
      <c r="L257" s="4" t="inlineStr">
        <is>
          <t>298043488428</t>
        </is>
      </c>
      <c r="M257" s="4" t="n">
        <v>27</v>
      </c>
      <c r="N257" s="4" t="n">
        <v>2</v>
      </c>
      <c r="O257" s="4">
        <f>IFERROR(INDEX('01_Customer_Tracker'!$B:$B,MATCH(B257,'01_Customer_Tracker'!$A:$A,0)),"")</f>
        <v/>
      </c>
    </row>
    <row r="258">
      <c r="A258" s="4" t="inlineStr">
        <is>
          <t>E257</t>
        </is>
      </c>
      <c r="B258" s="4" t="inlineStr">
        <is>
          <t>C005</t>
        </is>
      </c>
      <c r="C258" s="4" t="inlineStr">
        <is>
          <t>Kabir Gupta</t>
        </is>
      </c>
      <c r="D258" s="4" t="inlineStr">
        <is>
          <t>Sales</t>
        </is>
      </c>
      <c r="E258" s="8" t="n">
        <v>33485</v>
      </c>
      <c r="F258" s="8" t="n">
        <v>13394</v>
      </c>
      <c r="G258" s="8" t="n">
        <v>7931</v>
      </c>
      <c r="H258" s="8" t="n">
        <v>532</v>
      </c>
      <c r="I258" s="8" t="n">
        <v>2141</v>
      </c>
      <c r="J258" s="4" t="inlineStr">
        <is>
          <t>334236957529</t>
        </is>
      </c>
      <c r="K258" s="4" t="inlineStr"/>
      <c r="L258" s="4" t="inlineStr">
        <is>
          <t>725079512157</t>
        </is>
      </c>
      <c r="M258" s="4" t="n">
        <v>27</v>
      </c>
      <c r="N258" s="4" t="n">
        <v>1</v>
      </c>
      <c r="O258" s="4">
        <f>IFERROR(INDEX('01_Customer_Tracker'!$B:$B,MATCH(B258,'01_Customer_Tracker'!$A:$A,0)),"")</f>
        <v/>
      </c>
    </row>
    <row r="259">
      <c r="A259" s="4" t="inlineStr">
        <is>
          <t>E258</t>
        </is>
      </c>
      <c r="B259" s="4" t="inlineStr">
        <is>
          <t>C003</t>
        </is>
      </c>
      <c r="C259" s="4" t="inlineStr">
        <is>
          <t>Tanvi Patel</t>
        </is>
      </c>
      <c r="D259" s="4" t="inlineStr">
        <is>
          <t>Sales</t>
        </is>
      </c>
      <c r="E259" s="8" t="n">
        <v>87321</v>
      </c>
      <c r="F259" s="8" t="n">
        <v>34928</v>
      </c>
      <c r="G259" s="8" t="n">
        <v>6820</v>
      </c>
      <c r="H259" s="8" t="n">
        <v>4343</v>
      </c>
      <c r="I259" s="8" t="n">
        <v>4370</v>
      </c>
      <c r="J259" s="4" t="inlineStr">
        <is>
          <t>837157907055</t>
        </is>
      </c>
      <c r="K259" s="4" t="inlineStr">
        <is>
          <t>LKRIO7979X</t>
        </is>
      </c>
      <c r="L259" s="4" t="inlineStr">
        <is>
          <t>705195614994</t>
        </is>
      </c>
      <c r="M259" s="4" t="n">
        <v>30</v>
      </c>
      <c r="N259" s="4" t="n">
        <v>1</v>
      </c>
      <c r="O259" s="4">
        <f>IFERROR(INDEX('01_Customer_Tracker'!$B:$B,MATCH(B259,'01_Customer_Tracker'!$A:$A,0)),"")</f>
        <v/>
      </c>
    </row>
    <row r="260">
      <c r="A260" s="4" t="inlineStr">
        <is>
          <t>E259</t>
        </is>
      </c>
      <c r="B260" s="4" t="inlineStr">
        <is>
          <t>C005</t>
        </is>
      </c>
      <c r="C260" s="4" t="inlineStr">
        <is>
          <t>Ishaan Gupta</t>
        </is>
      </c>
      <c r="D260" s="4" t="inlineStr">
        <is>
          <t>Support</t>
        </is>
      </c>
      <c r="E260" s="8" t="n">
        <v>87385</v>
      </c>
      <c r="F260" s="8" t="n">
        <v>34954</v>
      </c>
      <c r="G260" s="8" t="n">
        <v>6927</v>
      </c>
      <c r="H260" s="8" t="n">
        <v>4186</v>
      </c>
      <c r="I260" s="8" t="n">
        <v>0</v>
      </c>
      <c r="J260" s="4" t="inlineStr">
        <is>
          <t>593130612700</t>
        </is>
      </c>
      <c r="K260" s="4" t="inlineStr">
        <is>
          <t>HBOVB2949G</t>
        </is>
      </c>
      <c r="L260" s="4" t="inlineStr">
        <is>
          <t>580940598936</t>
        </is>
      </c>
      <c r="M260" s="4" t="n">
        <v>29</v>
      </c>
      <c r="N260" s="4" t="n">
        <v>0</v>
      </c>
      <c r="O260" s="4">
        <f>IFERROR(INDEX('01_Customer_Tracker'!$B:$B,MATCH(B260,'01_Customer_Tracker'!$A:$A,0)),"")</f>
        <v/>
      </c>
    </row>
    <row r="261">
      <c r="A261" s="4" t="inlineStr">
        <is>
          <t>E260</t>
        </is>
      </c>
      <c r="B261" s="4" t="inlineStr">
        <is>
          <t>C034</t>
        </is>
      </c>
      <c r="C261" s="4" t="inlineStr">
        <is>
          <t>Neha Sharma</t>
        </is>
      </c>
      <c r="D261" s="4" t="inlineStr">
        <is>
          <t>Engineering</t>
        </is>
      </c>
      <c r="E261" s="8" t="n">
        <v>76187</v>
      </c>
      <c r="F261" s="8" t="n">
        <v>30475</v>
      </c>
      <c r="G261" s="8" t="n">
        <v>8411</v>
      </c>
      <c r="H261" s="8" t="n">
        <v>1075</v>
      </c>
      <c r="I261" s="8" t="n">
        <v>4031</v>
      </c>
      <c r="J261" s="4" t="inlineStr">
        <is>
          <t>356542790148</t>
        </is>
      </c>
      <c r="K261" s="4" t="inlineStr">
        <is>
          <t>TGKHG4871W</t>
        </is>
      </c>
      <c r="L261" s="4" t="inlineStr">
        <is>
          <t>367596573495</t>
        </is>
      </c>
      <c r="M261" s="4" t="n">
        <v>30</v>
      </c>
      <c r="N261" s="4" t="n">
        <v>0</v>
      </c>
      <c r="O261" s="4">
        <f>IFERROR(INDEX('01_Customer_Tracker'!$B:$B,MATCH(B261,'01_Customer_Tracker'!$A:$A,0)),"")</f>
        <v/>
      </c>
    </row>
    <row r="262">
      <c r="A262" s="4" t="inlineStr">
        <is>
          <t>E261</t>
        </is>
      </c>
      <c r="B262" s="4" t="inlineStr">
        <is>
          <t>C007</t>
        </is>
      </c>
      <c r="C262" s="4" t="inlineStr">
        <is>
          <t>Ishaan Joshi</t>
        </is>
      </c>
      <c r="D262" s="4" t="inlineStr">
        <is>
          <t>Sales</t>
        </is>
      </c>
      <c r="E262" s="8" t="n">
        <v>72151</v>
      </c>
      <c r="F262" s="8" t="n">
        <v>28860</v>
      </c>
      <c r="G262" s="8" t="n">
        <v>4835</v>
      </c>
      <c r="H262" s="8" t="n">
        <v>5036</v>
      </c>
      <c r="I262" s="8" t="n">
        <v>497</v>
      </c>
      <c r="J262" s="4" t="inlineStr">
        <is>
          <t>422882354561</t>
        </is>
      </c>
      <c r="K262" s="4" t="inlineStr">
        <is>
          <t>RWNBF2913X</t>
        </is>
      </c>
      <c r="L262" s="4" t="inlineStr">
        <is>
          <t>901013206743</t>
        </is>
      </c>
      <c r="M262" s="4" t="n">
        <v>30</v>
      </c>
      <c r="N262" s="4" t="n">
        <v>0</v>
      </c>
      <c r="O262" s="4">
        <f>IFERROR(INDEX('01_Customer_Tracker'!$B:$B,MATCH(B262,'01_Customer_Tracker'!$A:$A,0)),"")</f>
        <v/>
      </c>
    </row>
    <row r="263">
      <c r="A263" s="4" t="inlineStr">
        <is>
          <t>E262</t>
        </is>
      </c>
      <c r="B263" s="4" t="inlineStr">
        <is>
          <t>C044</t>
        </is>
      </c>
      <c r="C263" s="4" t="inlineStr">
        <is>
          <t>Myra Iyer</t>
        </is>
      </c>
      <c r="D263" s="4" t="inlineStr">
        <is>
          <t>Sales</t>
        </is>
      </c>
      <c r="E263" s="8" t="n">
        <v>46485</v>
      </c>
      <c r="F263" s="8" t="n">
        <v>18594</v>
      </c>
      <c r="G263" s="8" t="n">
        <v>5066</v>
      </c>
      <c r="H263" s="8" t="n">
        <v>785</v>
      </c>
      <c r="I263" s="8" t="n">
        <v>5818</v>
      </c>
      <c r="J263" s="4" t="inlineStr">
        <is>
          <t>580063389019</t>
        </is>
      </c>
      <c r="K263" s="4" t="inlineStr">
        <is>
          <t>JWJVP7652H</t>
        </is>
      </c>
      <c r="L263" s="4" t="inlineStr">
        <is>
          <t>411265474984</t>
        </is>
      </c>
      <c r="M263" s="4" t="n">
        <v>30</v>
      </c>
      <c r="N263" s="4" t="n">
        <v>0</v>
      </c>
      <c r="O263" s="4">
        <f>IFERROR(INDEX('01_Customer_Tracker'!$B:$B,MATCH(B263,'01_Customer_Tracker'!$A:$A,0)),"")</f>
        <v/>
      </c>
    </row>
    <row r="264">
      <c r="A264" s="4" t="inlineStr">
        <is>
          <t>E263</t>
        </is>
      </c>
      <c r="B264" s="4" t="inlineStr">
        <is>
          <t>C048</t>
        </is>
      </c>
      <c r="C264" s="4" t="inlineStr">
        <is>
          <t>Pooja Singh</t>
        </is>
      </c>
      <c r="D264" s="4" t="inlineStr">
        <is>
          <t>Operations</t>
        </is>
      </c>
      <c r="E264" s="8" t="n">
        <v>84389</v>
      </c>
      <c r="F264" s="8" t="n">
        <v>33756</v>
      </c>
      <c r="G264" s="8" t="n">
        <v>7500</v>
      </c>
      <c r="H264" s="8" t="n">
        <v>2011</v>
      </c>
      <c r="I264" s="8" t="n">
        <v>1668</v>
      </c>
      <c r="J264" s="4" t="inlineStr">
        <is>
          <t>740478609546</t>
        </is>
      </c>
      <c r="K264" s="4" t="inlineStr">
        <is>
          <t>AEZLS5382C</t>
        </is>
      </c>
      <c r="L264" s="4" t="inlineStr">
        <is>
          <t>185099815596</t>
        </is>
      </c>
      <c r="M264" s="4" t="n">
        <v>25</v>
      </c>
      <c r="N264" s="4" t="n">
        <v>0</v>
      </c>
      <c r="O264" s="4">
        <f>IFERROR(INDEX('01_Customer_Tracker'!$B:$B,MATCH(B264,'01_Customer_Tracker'!$A:$A,0)),"")</f>
        <v/>
      </c>
    </row>
    <row r="265">
      <c r="A265" s="4" t="inlineStr">
        <is>
          <t>E264</t>
        </is>
      </c>
      <c r="B265" s="4" t="inlineStr">
        <is>
          <t>C036</t>
        </is>
      </c>
      <c r="C265" s="4" t="inlineStr">
        <is>
          <t>Kiara Chauhan</t>
        </is>
      </c>
      <c r="D265" s="4" t="inlineStr">
        <is>
          <t>HR</t>
        </is>
      </c>
      <c r="E265" s="8" t="n">
        <v>61135</v>
      </c>
      <c r="F265" s="8" t="n">
        <v>24454</v>
      </c>
      <c r="G265" s="8" t="n">
        <v>5178</v>
      </c>
      <c r="H265" s="8" t="n">
        <v>1865</v>
      </c>
      <c r="I265" s="8" t="n">
        <v>1423</v>
      </c>
      <c r="J265" s="4" t="inlineStr">
        <is>
          <t>101335064525</t>
        </is>
      </c>
      <c r="K265" s="4" t="inlineStr">
        <is>
          <t>PUOGT9916L</t>
        </is>
      </c>
      <c r="L265" s="4" t="inlineStr">
        <is>
          <t>369470345334</t>
        </is>
      </c>
      <c r="M265" s="4" t="n">
        <v>28</v>
      </c>
      <c r="N265" s="4" t="n">
        <v>0</v>
      </c>
      <c r="O265" s="4">
        <f>IFERROR(INDEX('01_Customer_Tracker'!$B:$B,MATCH(B265,'01_Customer_Tracker'!$A:$A,0)),"")</f>
        <v/>
      </c>
    </row>
    <row r="266">
      <c r="A266" s="4" t="inlineStr">
        <is>
          <t>E265</t>
        </is>
      </c>
      <c r="B266" s="4" t="inlineStr">
        <is>
          <t>C003</t>
        </is>
      </c>
      <c r="C266" s="4" t="inlineStr">
        <is>
          <t>Vivaan Mehta</t>
        </is>
      </c>
      <c r="D266" s="4" t="inlineStr">
        <is>
          <t>Support</t>
        </is>
      </c>
      <c r="E266" s="8" t="n">
        <v>81250</v>
      </c>
      <c r="F266" s="8" t="n">
        <v>32500</v>
      </c>
      <c r="G266" s="8" t="n">
        <v>2420</v>
      </c>
      <c r="H266" s="8" t="n">
        <v>1586</v>
      </c>
      <c r="I266" s="8" t="n">
        <v>0</v>
      </c>
      <c r="J266" s="4" t="inlineStr">
        <is>
          <t>687462761482</t>
        </is>
      </c>
      <c r="K266" s="4" t="inlineStr">
        <is>
          <t>NBCDR3981G</t>
        </is>
      </c>
      <c r="L266" s="4" t="inlineStr">
        <is>
          <t>495131601004</t>
        </is>
      </c>
      <c r="M266" s="4" t="n">
        <v>28</v>
      </c>
      <c r="N266" s="4" t="n">
        <v>0</v>
      </c>
      <c r="O266" s="4">
        <f>IFERROR(INDEX('01_Customer_Tracker'!$B:$B,MATCH(B266,'01_Customer_Tracker'!$A:$A,0)),"")</f>
        <v/>
      </c>
    </row>
    <row r="267">
      <c r="A267" s="4" t="inlineStr">
        <is>
          <t>E266</t>
        </is>
      </c>
      <c r="B267" s="4" t="inlineStr">
        <is>
          <t>C035</t>
        </is>
      </c>
      <c r="C267" s="4" t="inlineStr">
        <is>
          <t>Neha Agarwal</t>
        </is>
      </c>
      <c r="D267" s="4" t="inlineStr">
        <is>
          <t>Sales</t>
        </is>
      </c>
      <c r="E267" s="8" t="n">
        <v>71877</v>
      </c>
      <c r="F267" s="8" t="n">
        <v>28751</v>
      </c>
      <c r="G267" s="8" t="n">
        <v>11556</v>
      </c>
      <c r="H267" s="8" t="n">
        <v>5705</v>
      </c>
      <c r="I267" s="8" t="n">
        <v>0</v>
      </c>
      <c r="J267" s="4" t="inlineStr">
        <is>
          <t>853657403056</t>
        </is>
      </c>
      <c r="K267" s="4" t="inlineStr">
        <is>
          <t>XVJSK8215V</t>
        </is>
      </c>
      <c r="L267" s="4" t="inlineStr">
        <is>
          <t>527686640673</t>
        </is>
      </c>
      <c r="M267" s="4" t="n">
        <v>30</v>
      </c>
      <c r="N267" s="4" t="n">
        <v>0</v>
      </c>
      <c r="O267" s="4">
        <f>IFERROR(INDEX('01_Customer_Tracker'!$B:$B,MATCH(B267,'01_Customer_Tracker'!$A:$A,0)),"")</f>
        <v/>
      </c>
    </row>
    <row r="268">
      <c r="A268" s="4" t="inlineStr">
        <is>
          <t>E267</t>
        </is>
      </c>
      <c r="B268" s="4" t="inlineStr">
        <is>
          <t>C012</t>
        </is>
      </c>
      <c r="C268" s="4" t="inlineStr">
        <is>
          <t>Yash Joshi</t>
        </is>
      </c>
      <c r="D268" s="4" t="inlineStr">
        <is>
          <t>HR</t>
        </is>
      </c>
      <c r="E268" s="8" t="n">
        <v>78827</v>
      </c>
      <c r="F268" s="8" t="n">
        <v>31531</v>
      </c>
      <c r="G268" s="8" t="n">
        <v>3061</v>
      </c>
      <c r="H268" s="8" t="n">
        <v>2720</v>
      </c>
      <c r="I268" s="8" t="n">
        <v>0</v>
      </c>
      <c r="J268" s="4" t="inlineStr">
        <is>
          <t>801361029305</t>
        </is>
      </c>
      <c r="K268" s="4" t="inlineStr">
        <is>
          <t>WZPGO7385C</t>
        </is>
      </c>
      <c r="L268" s="4" t="inlineStr">
        <is>
          <t>942650643523</t>
        </is>
      </c>
      <c r="M268" s="4" t="n">
        <v>29</v>
      </c>
      <c r="N268" s="4" t="n">
        <v>0</v>
      </c>
      <c r="O268" s="4">
        <f>IFERROR(INDEX('01_Customer_Tracker'!$B:$B,MATCH(B268,'01_Customer_Tracker'!$A:$A,0)),"")</f>
        <v/>
      </c>
    </row>
    <row r="269">
      <c r="A269" s="4" t="inlineStr">
        <is>
          <t>E268</t>
        </is>
      </c>
      <c r="B269" s="4" t="inlineStr">
        <is>
          <t>C005</t>
        </is>
      </c>
      <c r="C269" s="4" t="inlineStr">
        <is>
          <t>Anika Chatterjee</t>
        </is>
      </c>
      <c r="D269" s="4" t="inlineStr">
        <is>
          <t>HR</t>
        </is>
      </c>
      <c r="E269" s="8" t="n">
        <v>58436</v>
      </c>
      <c r="F269" s="8" t="n">
        <v>23374</v>
      </c>
      <c r="G269" s="8" t="n">
        <v>10990</v>
      </c>
      <c r="H269" s="8" t="n">
        <v>781</v>
      </c>
      <c r="I269" s="8" t="n">
        <v>0</v>
      </c>
      <c r="J269" s="4" t="inlineStr">
        <is>
          <t>262467288076</t>
        </is>
      </c>
      <c r="K269" s="4" t="inlineStr">
        <is>
          <t>MSYUU4970Q</t>
        </is>
      </c>
      <c r="L269" s="4" t="inlineStr">
        <is>
          <t>270064345797</t>
        </is>
      </c>
      <c r="M269" s="4" t="n">
        <v>25</v>
      </c>
      <c r="N269" s="4" t="n">
        <v>0</v>
      </c>
      <c r="O269" s="4">
        <f>IFERROR(INDEX('01_Customer_Tracker'!$B:$B,MATCH(B269,'01_Customer_Tracker'!$A:$A,0)),"")</f>
        <v/>
      </c>
    </row>
    <row r="270">
      <c r="A270" s="4" t="inlineStr">
        <is>
          <t>E269</t>
        </is>
      </c>
      <c r="B270" s="4" t="inlineStr">
        <is>
          <t>C017</t>
        </is>
      </c>
      <c r="C270" s="4" t="inlineStr">
        <is>
          <t>Meera Joshi</t>
        </is>
      </c>
      <c r="D270" s="4" t="inlineStr">
        <is>
          <t>Engineering</t>
        </is>
      </c>
      <c r="E270" s="8" t="n">
        <v>21760</v>
      </c>
      <c r="F270" s="8" t="n">
        <v>8704</v>
      </c>
      <c r="G270" s="8" t="n">
        <v>2673</v>
      </c>
      <c r="H270" s="8" t="n">
        <v>1247</v>
      </c>
      <c r="I270" s="8" t="n">
        <v>5166</v>
      </c>
      <c r="J270" s="4" t="inlineStr">
        <is>
          <t>316476068169</t>
        </is>
      </c>
      <c r="K270" s="4" t="inlineStr">
        <is>
          <t>WPFWC7698N</t>
        </is>
      </c>
      <c r="L270" s="4" t="inlineStr">
        <is>
          <t>505663829036</t>
        </is>
      </c>
      <c r="M270" s="4" t="n">
        <v>25</v>
      </c>
      <c r="N270" s="4" t="n">
        <v>0</v>
      </c>
      <c r="O270" s="4">
        <f>IFERROR(INDEX('01_Customer_Tracker'!$B:$B,MATCH(B270,'01_Customer_Tracker'!$A:$A,0)),"")</f>
        <v/>
      </c>
    </row>
    <row r="271">
      <c r="A271" s="4" t="inlineStr">
        <is>
          <t>E270</t>
        </is>
      </c>
      <c r="B271" s="4" t="inlineStr">
        <is>
          <t>C042</t>
        </is>
      </c>
      <c r="C271" s="4" t="inlineStr">
        <is>
          <t>Sneha Singh</t>
        </is>
      </c>
      <c r="D271" s="4" t="inlineStr">
        <is>
          <t>Operations</t>
        </is>
      </c>
      <c r="E271" s="8" t="n">
        <v>51085</v>
      </c>
      <c r="F271" s="8" t="n">
        <v>20434</v>
      </c>
      <c r="G271" s="8" t="n">
        <v>4247</v>
      </c>
      <c r="H271" s="8" t="n">
        <v>1153</v>
      </c>
      <c r="I271" s="8" t="n">
        <v>0</v>
      </c>
      <c r="J271" s="4" t="inlineStr">
        <is>
          <t>173427816066</t>
        </is>
      </c>
      <c r="K271" s="4" t="inlineStr">
        <is>
          <t>HDZMI4634C</t>
        </is>
      </c>
      <c r="L271" s="4" t="inlineStr">
        <is>
          <t>323821342708</t>
        </is>
      </c>
      <c r="M271" s="4" t="n">
        <v>29</v>
      </c>
      <c r="N271" s="4" t="n">
        <v>0</v>
      </c>
      <c r="O271" s="4">
        <f>IFERROR(INDEX('01_Customer_Tracker'!$B:$B,MATCH(B271,'01_Customer_Tracker'!$A:$A,0)),"")</f>
        <v/>
      </c>
    </row>
    <row r="272">
      <c r="A272" s="4" t="inlineStr">
        <is>
          <t>E271</t>
        </is>
      </c>
      <c r="B272" s="4" t="inlineStr">
        <is>
          <t>C030</t>
        </is>
      </c>
      <c r="C272" s="4" t="inlineStr">
        <is>
          <t>Aditya Pillai</t>
        </is>
      </c>
      <c r="D272" s="4" t="inlineStr">
        <is>
          <t>Finance</t>
        </is>
      </c>
      <c r="E272" s="8" t="n">
        <v>31689</v>
      </c>
      <c r="F272" s="8" t="n">
        <v>12676</v>
      </c>
      <c r="G272" s="8" t="n">
        <v>5038</v>
      </c>
      <c r="H272" s="8" t="n">
        <v>563</v>
      </c>
      <c r="I272" s="8" t="n">
        <v>0</v>
      </c>
      <c r="J272" s="4" t="inlineStr">
        <is>
          <t>940473368334</t>
        </is>
      </c>
      <c r="K272" s="4" t="inlineStr">
        <is>
          <t>RJYKR6953V</t>
        </is>
      </c>
      <c r="L272" s="4" t="inlineStr">
        <is>
          <t>813182590300</t>
        </is>
      </c>
      <c r="M272" s="4" t="n">
        <v>26</v>
      </c>
      <c r="N272" s="4" t="n">
        <v>0</v>
      </c>
      <c r="O272" s="4">
        <f>IFERROR(INDEX('01_Customer_Tracker'!$B:$B,MATCH(B272,'01_Customer_Tracker'!$A:$A,0)),"")</f>
        <v/>
      </c>
    </row>
    <row r="273">
      <c r="A273" s="4" t="inlineStr">
        <is>
          <t>E272</t>
        </is>
      </c>
      <c r="B273" s="4" t="inlineStr">
        <is>
          <t>C046</t>
        </is>
      </c>
      <c r="C273" s="4" t="inlineStr">
        <is>
          <t>Riya Bhatia</t>
        </is>
      </c>
      <c r="D273" s="4" t="inlineStr">
        <is>
          <t>Engineering</t>
        </is>
      </c>
      <c r="E273" s="8" t="n">
        <v>75679</v>
      </c>
      <c r="F273" s="8" t="n">
        <v>30272</v>
      </c>
      <c r="G273" s="8" t="n">
        <v>9459</v>
      </c>
      <c r="H273" s="8" t="n">
        <v>632</v>
      </c>
      <c r="I273" s="8" t="n">
        <v>5770</v>
      </c>
      <c r="J273" s="4" t="inlineStr">
        <is>
          <t>837754626745</t>
        </is>
      </c>
      <c r="K273" s="4" t="inlineStr">
        <is>
          <t>HYKFJ5722R</t>
        </is>
      </c>
      <c r="L273" s="4" t="inlineStr">
        <is>
          <t>964203404069</t>
        </is>
      </c>
      <c r="M273" s="4" t="n">
        <v>30</v>
      </c>
      <c r="N273" s="4" t="n">
        <v>2</v>
      </c>
      <c r="O273" s="4">
        <f>IFERROR(INDEX('01_Customer_Tracker'!$B:$B,MATCH(B273,'01_Customer_Tracker'!$A:$A,0)),"")</f>
        <v/>
      </c>
    </row>
    <row r="274">
      <c r="A274" s="4" t="inlineStr">
        <is>
          <t>E273</t>
        </is>
      </c>
      <c r="B274" s="4" t="inlineStr">
        <is>
          <t>C029</t>
        </is>
      </c>
      <c r="C274" s="4" t="inlineStr">
        <is>
          <t>Aadhya Bhatia</t>
        </is>
      </c>
      <c r="D274" s="4" t="inlineStr">
        <is>
          <t>HR</t>
        </is>
      </c>
      <c r="E274" s="8" t="n">
        <v>16005</v>
      </c>
      <c r="F274" s="8" t="n">
        <v>6402</v>
      </c>
      <c r="G274" s="8" t="n">
        <v>3826</v>
      </c>
      <c r="H274" s="8" t="n">
        <v>878</v>
      </c>
      <c r="I274" s="8" t="n">
        <v>1948</v>
      </c>
      <c r="J274" s="4" t="inlineStr">
        <is>
          <t>161986464121</t>
        </is>
      </c>
      <c r="K274" s="4" t="inlineStr">
        <is>
          <t>CODQO6839M</t>
        </is>
      </c>
      <c r="L274" s="4" t="inlineStr">
        <is>
          <t>473753272364</t>
        </is>
      </c>
      <c r="M274" s="4" t="n">
        <v>29</v>
      </c>
      <c r="N274" s="4" t="n">
        <v>0</v>
      </c>
      <c r="O274" s="4">
        <f>IFERROR(INDEX('01_Customer_Tracker'!$B:$B,MATCH(B274,'01_Customer_Tracker'!$A:$A,0)),"")</f>
        <v/>
      </c>
    </row>
    <row r="275">
      <c r="A275" s="4" t="inlineStr">
        <is>
          <t>E274</t>
        </is>
      </c>
      <c r="B275" s="4" t="inlineStr">
        <is>
          <t>C006</t>
        </is>
      </c>
      <c r="C275" s="4" t="inlineStr">
        <is>
          <t>Sai Sharma</t>
        </is>
      </c>
      <c r="D275" s="4" t="inlineStr">
        <is>
          <t>Sales</t>
        </is>
      </c>
      <c r="E275" s="8" t="n">
        <v>30497</v>
      </c>
      <c r="F275" s="8" t="n">
        <v>12199</v>
      </c>
      <c r="G275" s="8" t="n">
        <v>2305</v>
      </c>
      <c r="H275" s="8" t="n">
        <v>761</v>
      </c>
      <c r="I275" s="8" t="n">
        <v>1638</v>
      </c>
      <c r="J275" s="4" t="inlineStr">
        <is>
          <t>165873132578</t>
        </is>
      </c>
      <c r="K275" s="4" t="inlineStr">
        <is>
          <t>ALRUQ6551Y</t>
        </is>
      </c>
      <c r="L275" s="4" t="inlineStr">
        <is>
          <t>818351462256</t>
        </is>
      </c>
      <c r="M275" s="4" t="n">
        <v>30</v>
      </c>
      <c r="N275" s="4" t="n">
        <v>1</v>
      </c>
      <c r="O275" s="4">
        <f>IFERROR(INDEX('01_Customer_Tracker'!$B:$B,MATCH(B275,'01_Customer_Tracker'!$A:$A,0)),"")</f>
        <v/>
      </c>
    </row>
    <row r="276">
      <c r="A276" s="4" t="inlineStr">
        <is>
          <t>E275</t>
        </is>
      </c>
      <c r="B276" s="4" t="inlineStr">
        <is>
          <t>C035</t>
        </is>
      </c>
      <c r="C276" s="4" t="inlineStr">
        <is>
          <t>Karan Chatterjee</t>
        </is>
      </c>
      <c r="D276" s="4" t="inlineStr">
        <is>
          <t>Sales</t>
        </is>
      </c>
      <c r="E276" s="8" t="n">
        <v>19619</v>
      </c>
      <c r="F276" s="8" t="n">
        <v>7848</v>
      </c>
      <c r="G276" s="8" t="n">
        <v>9059</v>
      </c>
      <c r="H276" s="8" t="n">
        <v>676</v>
      </c>
      <c r="I276" s="8" t="n">
        <v>0</v>
      </c>
      <c r="J276" s="4" t="inlineStr">
        <is>
          <t>433535671268</t>
        </is>
      </c>
      <c r="K276" s="4" t="inlineStr">
        <is>
          <t>CHDRU8567Q</t>
        </is>
      </c>
      <c r="L276" s="4" t="inlineStr">
        <is>
          <t>664976886211</t>
        </is>
      </c>
      <c r="M276" s="4" t="n">
        <v>29</v>
      </c>
      <c r="N276" s="4" t="n">
        <v>0</v>
      </c>
      <c r="O276" s="4">
        <f>IFERROR(INDEX('01_Customer_Tracker'!$B:$B,MATCH(B276,'01_Customer_Tracker'!$A:$A,0)),"")</f>
        <v/>
      </c>
    </row>
    <row r="277">
      <c r="A277" s="4" t="inlineStr">
        <is>
          <t>E276</t>
        </is>
      </c>
      <c r="B277" s="4" t="inlineStr">
        <is>
          <t>C020</t>
        </is>
      </c>
      <c r="C277" s="4" t="inlineStr">
        <is>
          <t>Yash Sharma</t>
        </is>
      </c>
      <c r="D277" s="4" t="inlineStr">
        <is>
          <t>Finance</t>
        </is>
      </c>
      <c r="E277" s="8" t="n">
        <v>69220</v>
      </c>
      <c r="F277" s="8" t="n">
        <v>27688</v>
      </c>
      <c r="G277" s="8" t="n">
        <v>5359</v>
      </c>
      <c r="H277" s="8" t="n">
        <v>44993</v>
      </c>
      <c r="I277" s="8" t="n">
        <v>776</v>
      </c>
      <c r="J277" s="4" t="inlineStr">
        <is>
          <t>936250718604</t>
        </is>
      </c>
      <c r="K277" s="4" t="inlineStr">
        <is>
          <t>IQQPM4806Q</t>
        </is>
      </c>
      <c r="L277" s="4" t="inlineStr">
        <is>
          <t>472368092486</t>
        </is>
      </c>
      <c r="M277" s="4" t="n">
        <v>27</v>
      </c>
      <c r="N277" s="4" t="n">
        <v>0</v>
      </c>
      <c r="O277" s="4">
        <f>IFERROR(INDEX('01_Customer_Tracker'!$B:$B,MATCH(B277,'01_Customer_Tracker'!$A:$A,0)),"")</f>
        <v/>
      </c>
    </row>
    <row r="278">
      <c r="A278" s="4" t="inlineStr">
        <is>
          <t>E277</t>
        </is>
      </c>
      <c r="B278" s="4" t="inlineStr">
        <is>
          <t>C018</t>
        </is>
      </c>
      <c r="C278" s="4" t="inlineStr">
        <is>
          <t>Navya Verma</t>
        </is>
      </c>
      <c r="D278" s="4" t="inlineStr">
        <is>
          <t>Finance</t>
        </is>
      </c>
      <c r="E278" s="8" t="n">
        <v>68434</v>
      </c>
      <c r="F278" s="8" t="n">
        <v>27374</v>
      </c>
      <c r="G278" s="8" t="n">
        <v>8698</v>
      </c>
      <c r="H278" s="8" t="n">
        <v>5395</v>
      </c>
      <c r="I278" s="8" t="n">
        <v>0</v>
      </c>
      <c r="J278" s="4" t="inlineStr">
        <is>
          <t>290149745452</t>
        </is>
      </c>
      <c r="K278" s="4" t="inlineStr">
        <is>
          <t>BJRWQ5627Q</t>
        </is>
      </c>
      <c r="L278" s="4" t="inlineStr">
        <is>
          <t>647316024629</t>
        </is>
      </c>
      <c r="M278" s="4" t="n">
        <v>24</v>
      </c>
      <c r="N278" s="4" t="n">
        <v>0</v>
      </c>
      <c r="O278" s="4">
        <f>IFERROR(INDEX('01_Customer_Tracker'!$B:$B,MATCH(B278,'01_Customer_Tracker'!$A:$A,0)),"")</f>
        <v/>
      </c>
    </row>
    <row r="279">
      <c r="A279" s="4" t="inlineStr">
        <is>
          <t>E278</t>
        </is>
      </c>
      <c r="B279" s="4" t="inlineStr">
        <is>
          <t>C006</t>
        </is>
      </c>
      <c r="C279" s="4" t="inlineStr">
        <is>
          <t>Rahul Singh</t>
        </is>
      </c>
      <c r="D279" s="4" t="inlineStr">
        <is>
          <t>Support</t>
        </is>
      </c>
      <c r="E279" s="8" t="n">
        <v>62818</v>
      </c>
      <c r="F279" s="8" t="n">
        <v>25127</v>
      </c>
      <c r="G279" s="8" t="n">
        <v>8907</v>
      </c>
      <c r="H279" s="8" t="n">
        <v>2590</v>
      </c>
      <c r="I279" s="8" t="n">
        <v>1417</v>
      </c>
      <c r="J279" s="4" t="inlineStr">
        <is>
          <t>429776927174</t>
        </is>
      </c>
      <c r="K279" s="4" t="inlineStr"/>
      <c r="L279" s="4" t="inlineStr">
        <is>
          <t>297901038461</t>
        </is>
      </c>
      <c r="M279" s="4" t="n">
        <v>28</v>
      </c>
      <c r="N279" s="4" t="n">
        <v>0</v>
      </c>
      <c r="O279" s="4">
        <f>IFERROR(INDEX('01_Customer_Tracker'!$B:$B,MATCH(B279,'01_Customer_Tracker'!$A:$A,0)),"")</f>
        <v/>
      </c>
    </row>
    <row r="280">
      <c r="A280" s="4" t="inlineStr">
        <is>
          <t>E279</t>
        </is>
      </c>
      <c r="B280" s="4" t="inlineStr">
        <is>
          <t>C033</t>
        </is>
      </c>
      <c r="C280" s="4" t="inlineStr">
        <is>
          <t>Sai Mehta</t>
        </is>
      </c>
      <c r="D280" s="4" t="inlineStr">
        <is>
          <t>HR</t>
        </is>
      </c>
      <c r="E280" s="8" t="n">
        <v>67968</v>
      </c>
      <c r="F280" s="8" t="n">
        <v>27187</v>
      </c>
      <c r="G280" s="8" t="n">
        <v>6061</v>
      </c>
      <c r="H280" s="8" t="n">
        <v>442</v>
      </c>
      <c r="I280" s="8" t="n">
        <v>0</v>
      </c>
      <c r="J280" s="4" t="inlineStr">
        <is>
          <t>37937336855</t>
        </is>
      </c>
      <c r="K280" s="4" t="inlineStr">
        <is>
          <t>XRAIF9542O</t>
        </is>
      </c>
      <c r="L280" s="4" t="inlineStr">
        <is>
          <t>607425308215</t>
        </is>
      </c>
      <c r="M280" s="4" t="n">
        <v>26</v>
      </c>
      <c r="N280" s="4" t="n">
        <v>0</v>
      </c>
      <c r="O280" s="4">
        <f>IFERROR(INDEX('01_Customer_Tracker'!$B:$B,MATCH(B280,'01_Customer_Tracker'!$A:$A,0)),"")</f>
        <v/>
      </c>
    </row>
    <row r="281">
      <c r="A281" s="4" t="inlineStr">
        <is>
          <t>E280</t>
        </is>
      </c>
      <c r="B281" s="4" t="inlineStr">
        <is>
          <t>C020</t>
        </is>
      </c>
      <c r="C281" s="4" t="inlineStr">
        <is>
          <t>Reyansh Bhatia</t>
        </is>
      </c>
      <c r="D281" s="4" t="inlineStr">
        <is>
          <t>HR</t>
        </is>
      </c>
      <c r="E281" s="8" t="n">
        <v>50028</v>
      </c>
      <c r="F281" s="8" t="n">
        <v>20011</v>
      </c>
      <c r="G281" s="8" t="n">
        <v>2970</v>
      </c>
      <c r="H281" s="8" t="n">
        <v>1483</v>
      </c>
      <c r="I281" s="8" t="n">
        <v>980</v>
      </c>
      <c r="J281" s="4" t="inlineStr">
        <is>
          <t>128680342616</t>
        </is>
      </c>
      <c r="K281" s="4" t="inlineStr">
        <is>
          <t>CPZQK2861A</t>
        </is>
      </c>
      <c r="L281" s="4" t="inlineStr">
        <is>
          <t>957635911562</t>
        </is>
      </c>
      <c r="M281" s="4" t="n">
        <v>25</v>
      </c>
      <c r="N281" s="4" t="n">
        <v>0</v>
      </c>
      <c r="O281" s="4">
        <f>IFERROR(INDEX('01_Customer_Tracker'!$B:$B,MATCH(B281,'01_Customer_Tracker'!$A:$A,0)),"")</f>
        <v/>
      </c>
    </row>
    <row r="282">
      <c r="A282" s="4" t="inlineStr">
        <is>
          <t>E281</t>
        </is>
      </c>
      <c r="B282" s="4" t="inlineStr">
        <is>
          <t>C007</t>
        </is>
      </c>
      <c r="C282" s="4" t="inlineStr">
        <is>
          <t>Aarav Singh</t>
        </is>
      </c>
      <c r="D282" s="4" t="inlineStr">
        <is>
          <t>Support</t>
        </is>
      </c>
      <c r="E282" s="8" t="n">
        <v>54227</v>
      </c>
      <c r="F282" s="8" t="n">
        <v>21691</v>
      </c>
      <c r="G282" s="8" t="n">
        <v>11103</v>
      </c>
      <c r="H282" s="8" t="n">
        <v>2028</v>
      </c>
      <c r="I282" s="8" t="n">
        <v>0</v>
      </c>
      <c r="J282" s="4" t="inlineStr">
        <is>
          <t>974697618593</t>
        </is>
      </c>
      <c r="K282" s="4" t="inlineStr">
        <is>
          <t>SFBPZ1777W</t>
        </is>
      </c>
      <c r="L282" s="4" t="inlineStr">
        <is>
          <t>936037015412</t>
        </is>
      </c>
      <c r="M282" s="4" t="n">
        <v>26</v>
      </c>
      <c r="N282" s="4" t="n">
        <v>0</v>
      </c>
      <c r="O282" s="4">
        <f>IFERROR(INDEX('01_Customer_Tracker'!$B:$B,MATCH(B282,'01_Customer_Tracker'!$A:$A,0)),"")</f>
        <v/>
      </c>
    </row>
    <row r="283">
      <c r="A283" s="4" t="inlineStr">
        <is>
          <t>E282</t>
        </is>
      </c>
      <c r="B283" s="4" t="inlineStr">
        <is>
          <t>C019</t>
        </is>
      </c>
      <c r="C283" s="4" t="inlineStr">
        <is>
          <t>Tanvi Desai</t>
        </is>
      </c>
      <c r="D283" s="4" t="inlineStr">
        <is>
          <t>Finance</t>
        </is>
      </c>
      <c r="E283" s="8" t="n">
        <v>53689</v>
      </c>
      <c r="F283" s="8" t="n">
        <v>21476</v>
      </c>
      <c r="G283" s="8" t="n">
        <v>8977</v>
      </c>
      <c r="H283" s="8" t="n">
        <v>2247</v>
      </c>
      <c r="I283" s="8" t="n">
        <v>0</v>
      </c>
      <c r="J283" s="4" t="inlineStr">
        <is>
          <t>623880097586</t>
        </is>
      </c>
      <c r="K283" s="4" t="inlineStr">
        <is>
          <t>TIAKW2201O</t>
        </is>
      </c>
      <c r="L283" s="4" t="inlineStr">
        <is>
          <t>229015063188</t>
        </is>
      </c>
      <c r="M283" s="4" t="n">
        <v>25</v>
      </c>
      <c r="N283" s="4" t="n">
        <v>0</v>
      </c>
      <c r="O283" s="4">
        <f>IFERROR(INDEX('01_Customer_Tracker'!$B:$B,MATCH(B283,'01_Customer_Tracker'!$A:$A,0)),"")</f>
        <v/>
      </c>
    </row>
    <row r="284">
      <c r="A284" s="4" t="inlineStr">
        <is>
          <t>E283</t>
        </is>
      </c>
      <c r="B284" s="4" t="inlineStr">
        <is>
          <t>C037</t>
        </is>
      </c>
      <c r="C284" s="4" t="inlineStr">
        <is>
          <t>Sneha Rao</t>
        </is>
      </c>
      <c r="D284" s="4" t="inlineStr">
        <is>
          <t>Sales</t>
        </is>
      </c>
      <c r="E284" s="8" t="n">
        <v>54775</v>
      </c>
      <c r="F284" s="8" t="n">
        <v>21910</v>
      </c>
      <c r="G284" s="8" t="n">
        <v>2600</v>
      </c>
      <c r="H284" s="8" t="n">
        <v>1640</v>
      </c>
      <c r="I284" s="8" t="n">
        <v>0</v>
      </c>
      <c r="J284" s="4" t="inlineStr">
        <is>
          <t>814776294217</t>
        </is>
      </c>
      <c r="K284" s="4" t="inlineStr">
        <is>
          <t>LWNOS8378E</t>
        </is>
      </c>
      <c r="L284" s="4" t="inlineStr">
        <is>
          <t>527077080268</t>
        </is>
      </c>
      <c r="M284" s="4" t="n">
        <v>27</v>
      </c>
      <c r="N284" s="4" t="n">
        <v>0</v>
      </c>
      <c r="O284" s="4">
        <f>IFERROR(INDEX('01_Customer_Tracker'!$B:$B,MATCH(B284,'01_Customer_Tracker'!$A:$A,0)),"")</f>
        <v/>
      </c>
    </row>
    <row r="285">
      <c r="A285" s="4" t="inlineStr">
        <is>
          <t>E284</t>
        </is>
      </c>
      <c r="B285" s="4" t="inlineStr">
        <is>
          <t>C006</t>
        </is>
      </c>
      <c r="C285" s="4" t="inlineStr">
        <is>
          <t>Diya Singh</t>
        </is>
      </c>
      <c r="D285" s="4" t="inlineStr">
        <is>
          <t>Finance</t>
        </is>
      </c>
      <c r="E285" s="8" t="n">
        <v>44693</v>
      </c>
      <c r="F285" s="8" t="n">
        <v>17877</v>
      </c>
      <c r="G285" s="8" t="n">
        <v>3369</v>
      </c>
      <c r="H285" s="8" t="n">
        <v>1090</v>
      </c>
      <c r="I285" s="8" t="n">
        <v>0</v>
      </c>
      <c r="J285" s="4" t="inlineStr">
        <is>
          <t>549401533352</t>
        </is>
      </c>
      <c r="K285" s="4" t="inlineStr">
        <is>
          <t>KRULM2960W</t>
        </is>
      </c>
      <c r="L285" s="4" t="inlineStr">
        <is>
          <t>411400780513</t>
        </is>
      </c>
      <c r="M285" s="4" t="n">
        <v>30</v>
      </c>
      <c r="N285" s="4" t="n">
        <v>0</v>
      </c>
      <c r="O285" s="4">
        <f>IFERROR(INDEX('01_Customer_Tracker'!$B:$B,MATCH(B285,'01_Customer_Tracker'!$A:$A,0)),"")</f>
        <v/>
      </c>
    </row>
    <row r="286">
      <c r="A286" s="4" t="inlineStr">
        <is>
          <t>E285</t>
        </is>
      </c>
      <c r="B286" s="4" t="inlineStr">
        <is>
          <t>C034</t>
        </is>
      </c>
      <c r="C286" s="4" t="inlineStr">
        <is>
          <t>Aditya Iyer</t>
        </is>
      </c>
      <c r="D286" s="4" t="inlineStr">
        <is>
          <t>Operations</t>
        </is>
      </c>
      <c r="E286" s="8" t="n">
        <v>57004</v>
      </c>
      <c r="F286" s="8" t="n">
        <v>22802</v>
      </c>
      <c r="G286" s="8" t="n">
        <v>4114</v>
      </c>
      <c r="H286" s="8" t="n">
        <v>2446</v>
      </c>
      <c r="I286" s="8" t="n">
        <v>0</v>
      </c>
      <c r="J286" s="4" t="inlineStr">
        <is>
          <t>147462872883</t>
        </is>
      </c>
      <c r="K286" s="4" t="inlineStr">
        <is>
          <t>CXQNU6274G</t>
        </is>
      </c>
      <c r="L286" s="4" t="inlineStr">
        <is>
          <t>132422416152</t>
        </is>
      </c>
      <c r="M286" s="4" t="n">
        <v>27</v>
      </c>
      <c r="N286" s="4" t="n">
        <v>0</v>
      </c>
      <c r="O286" s="4">
        <f>IFERROR(INDEX('01_Customer_Tracker'!$B:$B,MATCH(B286,'01_Customer_Tracker'!$A:$A,0)),"")</f>
        <v/>
      </c>
    </row>
    <row r="287">
      <c r="A287" s="4" t="inlineStr">
        <is>
          <t>E286</t>
        </is>
      </c>
      <c r="B287" s="4" t="inlineStr">
        <is>
          <t>C005</t>
        </is>
      </c>
      <c r="C287" s="4" t="inlineStr">
        <is>
          <t>Aditya Nair</t>
        </is>
      </c>
      <c r="D287" s="4" t="inlineStr">
        <is>
          <t>Finance</t>
        </is>
      </c>
      <c r="E287" s="8" t="n">
        <v>40701</v>
      </c>
      <c r="F287" s="8" t="n">
        <v>16280</v>
      </c>
      <c r="G287" s="8" t="n">
        <v>4545</v>
      </c>
      <c r="H287" s="8" t="n">
        <v>2113</v>
      </c>
      <c r="I287" s="8" t="n">
        <v>0</v>
      </c>
      <c r="J287" s="4" t="inlineStr">
        <is>
          <t>102286030540</t>
        </is>
      </c>
      <c r="K287" s="4" t="inlineStr">
        <is>
          <t>JBYEV2717I</t>
        </is>
      </c>
      <c r="L287" s="4" t="inlineStr">
        <is>
          <t>260033017640</t>
        </is>
      </c>
      <c r="M287" s="4" t="n">
        <v>28</v>
      </c>
      <c r="N287" s="4" t="n">
        <v>0</v>
      </c>
      <c r="O287" s="4">
        <f>IFERROR(INDEX('01_Customer_Tracker'!$B:$B,MATCH(B287,'01_Customer_Tracker'!$A:$A,0)),"")</f>
        <v/>
      </c>
    </row>
    <row r="288">
      <c r="A288" s="4" t="inlineStr">
        <is>
          <t>E287</t>
        </is>
      </c>
      <c r="B288" s="4" t="inlineStr">
        <is>
          <t>C005</t>
        </is>
      </c>
      <c r="C288" s="4" t="inlineStr">
        <is>
          <t>Saanvi Iyer</t>
        </is>
      </c>
      <c r="D288" s="4" t="inlineStr">
        <is>
          <t>Support</t>
        </is>
      </c>
      <c r="E288" s="8" t="n">
        <v>21834</v>
      </c>
      <c r="F288" s="8" t="n">
        <v>8734</v>
      </c>
      <c r="G288" s="8" t="n">
        <v>10603</v>
      </c>
      <c r="H288" s="8" t="n">
        <v>1529</v>
      </c>
      <c r="I288" s="8" t="n">
        <v>685</v>
      </c>
      <c r="J288" s="4" t="inlineStr">
        <is>
          <t>959436120171</t>
        </is>
      </c>
      <c r="K288" s="4" t="inlineStr">
        <is>
          <t>LQYTS2006B</t>
        </is>
      </c>
      <c r="L288" s="4" t="inlineStr">
        <is>
          <t>634006112869</t>
        </is>
      </c>
      <c r="M288" s="4" t="n">
        <v>25</v>
      </c>
      <c r="N288" s="4" t="n">
        <v>0</v>
      </c>
      <c r="O288" s="4">
        <f>IFERROR(INDEX('01_Customer_Tracker'!$B:$B,MATCH(B288,'01_Customer_Tracker'!$A:$A,0)),"")</f>
        <v/>
      </c>
    </row>
    <row r="289">
      <c r="A289" s="4" t="inlineStr">
        <is>
          <t>E288</t>
        </is>
      </c>
      <c r="B289" s="4" t="inlineStr">
        <is>
          <t>C014</t>
        </is>
      </c>
      <c r="C289" s="4" t="inlineStr">
        <is>
          <t>Amit Desai</t>
        </is>
      </c>
      <c r="D289" s="4" t="inlineStr">
        <is>
          <t>Engineering</t>
        </is>
      </c>
      <c r="E289" s="8" t="n">
        <v>19384</v>
      </c>
      <c r="F289" s="8" t="n">
        <v>7754</v>
      </c>
      <c r="G289" s="8" t="n">
        <v>5657</v>
      </c>
      <c r="H289" s="8" t="n">
        <v>525</v>
      </c>
      <c r="I289" s="8" t="n">
        <v>1893</v>
      </c>
      <c r="J289" s="4" t="inlineStr">
        <is>
          <t>697850328135</t>
        </is>
      </c>
      <c r="K289" s="4" t="inlineStr">
        <is>
          <t>ZHYII1813L</t>
        </is>
      </c>
      <c r="L289" s="4" t="inlineStr">
        <is>
          <t>242351077286</t>
        </is>
      </c>
      <c r="M289" s="4" t="n">
        <v>27</v>
      </c>
      <c r="N289" s="4" t="n">
        <v>0</v>
      </c>
      <c r="O289" s="4">
        <f>IFERROR(INDEX('01_Customer_Tracker'!$B:$B,MATCH(B289,'01_Customer_Tracker'!$A:$A,0)),"")</f>
        <v/>
      </c>
    </row>
    <row r="290">
      <c r="A290" s="4" t="inlineStr">
        <is>
          <t>E289</t>
        </is>
      </c>
      <c r="B290" s="4" t="inlineStr">
        <is>
          <t>C020</t>
        </is>
      </c>
      <c r="C290" s="4" t="inlineStr">
        <is>
          <t>Aditya Gupta</t>
        </is>
      </c>
      <c r="D290" s="4" t="inlineStr">
        <is>
          <t>HR</t>
        </is>
      </c>
      <c r="E290" s="8" t="n">
        <v>86538</v>
      </c>
      <c r="F290" s="8" t="n">
        <v>34615</v>
      </c>
      <c r="G290" s="8" t="n">
        <v>7516</v>
      </c>
      <c r="H290" s="8" t="n">
        <v>1003</v>
      </c>
      <c r="I290" s="8" t="n">
        <v>0</v>
      </c>
      <c r="J290" s="4" t="inlineStr">
        <is>
          <t>205010027065</t>
        </is>
      </c>
      <c r="K290" s="4" t="inlineStr">
        <is>
          <t>PBQFX1492Q</t>
        </is>
      </c>
      <c r="L290" s="4" t="inlineStr">
        <is>
          <t>544135741986</t>
        </is>
      </c>
      <c r="M290" s="4" t="n">
        <v>24</v>
      </c>
      <c r="N290" s="4" t="n">
        <v>0</v>
      </c>
      <c r="O290" s="4">
        <f>IFERROR(INDEX('01_Customer_Tracker'!$B:$B,MATCH(B290,'01_Customer_Tracker'!$A:$A,0)),"")</f>
        <v/>
      </c>
    </row>
    <row r="291">
      <c r="A291" s="4" t="inlineStr">
        <is>
          <t>E290</t>
        </is>
      </c>
      <c r="B291" s="4" t="inlineStr">
        <is>
          <t>C022</t>
        </is>
      </c>
      <c r="C291" s="4" t="inlineStr">
        <is>
          <t>Kiara Verma</t>
        </is>
      </c>
      <c r="D291" s="4" t="inlineStr">
        <is>
          <t>HR</t>
        </is>
      </c>
      <c r="E291" s="8" t="n">
        <v>48076</v>
      </c>
      <c r="F291" s="8" t="n">
        <v>19230</v>
      </c>
      <c r="G291" s="8" t="n">
        <v>2051</v>
      </c>
      <c r="H291" s="8" t="n">
        <v>2235</v>
      </c>
      <c r="I291" s="8" t="n">
        <v>53</v>
      </c>
      <c r="J291" s="4" t="inlineStr">
        <is>
          <t>81116521036</t>
        </is>
      </c>
      <c r="K291" s="4" t="inlineStr">
        <is>
          <t>JLFDM1569Z</t>
        </is>
      </c>
      <c r="L291" s="4" t="inlineStr">
        <is>
          <t>996638556644</t>
        </is>
      </c>
      <c r="M291" s="4" t="n">
        <v>30</v>
      </c>
      <c r="N291" s="4" t="n">
        <v>0</v>
      </c>
      <c r="O291" s="4">
        <f>IFERROR(INDEX('01_Customer_Tracker'!$B:$B,MATCH(B291,'01_Customer_Tracker'!$A:$A,0)),"")</f>
        <v/>
      </c>
    </row>
    <row r="292">
      <c r="A292" s="4" t="inlineStr">
        <is>
          <t>E291</t>
        </is>
      </c>
      <c r="B292" s="4" t="inlineStr">
        <is>
          <t>C020</t>
        </is>
      </c>
      <c r="C292" s="4" t="inlineStr">
        <is>
          <t>Amit Rao</t>
        </is>
      </c>
      <c r="D292" s="4" t="inlineStr">
        <is>
          <t>Engineering</t>
        </is>
      </c>
      <c r="E292" s="8" t="n">
        <v>78014</v>
      </c>
      <c r="F292" s="8" t="n">
        <v>31206</v>
      </c>
      <c r="G292" s="8" t="n">
        <v>4897</v>
      </c>
      <c r="H292" s="8" t="n">
        <v>46</v>
      </c>
      <c r="I292" s="8" t="n">
        <v>1426</v>
      </c>
      <c r="J292" s="4" t="inlineStr">
        <is>
          <t>104281274185</t>
        </is>
      </c>
      <c r="K292" s="4" t="inlineStr">
        <is>
          <t>WLSID2623Q</t>
        </is>
      </c>
      <c r="L292" s="4" t="inlineStr">
        <is>
          <t>421404036306</t>
        </is>
      </c>
      <c r="M292" s="4" t="n">
        <v>29</v>
      </c>
      <c r="N292" s="4" t="n">
        <v>0</v>
      </c>
      <c r="O292" s="4">
        <f>IFERROR(INDEX('01_Customer_Tracker'!$B:$B,MATCH(B292,'01_Customer_Tracker'!$A:$A,0)),"")</f>
        <v/>
      </c>
    </row>
    <row r="293">
      <c r="A293" s="4" t="inlineStr">
        <is>
          <t>E292</t>
        </is>
      </c>
      <c r="B293" s="4" t="inlineStr">
        <is>
          <t>C044</t>
        </is>
      </c>
      <c r="C293" s="4" t="inlineStr">
        <is>
          <t>Pari Iyer</t>
        </is>
      </c>
      <c r="D293" s="4" t="inlineStr">
        <is>
          <t>Operations</t>
        </is>
      </c>
      <c r="E293" s="8" t="n">
        <v>55379</v>
      </c>
      <c r="F293" s="8" t="n">
        <v>22152</v>
      </c>
      <c r="G293" s="8" t="n">
        <v>7451</v>
      </c>
      <c r="H293" s="8" t="n">
        <v>815</v>
      </c>
      <c r="I293" s="8" t="n">
        <v>0</v>
      </c>
      <c r="J293" s="4" t="inlineStr">
        <is>
          <t>INVALID00</t>
        </is>
      </c>
      <c r="K293" s="4" t="inlineStr">
        <is>
          <t>KEGPH3373Z</t>
        </is>
      </c>
      <c r="L293" s="4" t="inlineStr">
        <is>
          <t>936791425120</t>
        </is>
      </c>
      <c r="M293" s="4" t="n">
        <v>25</v>
      </c>
      <c r="N293" s="4" t="n">
        <v>1</v>
      </c>
      <c r="O293" s="4">
        <f>IFERROR(INDEX('01_Customer_Tracker'!$B:$B,MATCH(B293,'01_Customer_Tracker'!$A:$A,0)),"")</f>
        <v/>
      </c>
    </row>
    <row r="294">
      <c r="A294" s="4" t="inlineStr">
        <is>
          <t>E293</t>
        </is>
      </c>
      <c r="B294" s="4" t="inlineStr">
        <is>
          <t>C037</t>
        </is>
      </c>
      <c r="C294" s="4" t="inlineStr">
        <is>
          <t>Yash Nair</t>
        </is>
      </c>
      <c r="D294" s="4" t="inlineStr">
        <is>
          <t>Finance</t>
        </is>
      </c>
      <c r="E294" s="8" t="n">
        <v>63638</v>
      </c>
      <c r="F294" s="8" t="n">
        <v>25455</v>
      </c>
      <c r="G294" s="8" t="n">
        <v>4131</v>
      </c>
      <c r="H294" s="8" t="n">
        <v>4135</v>
      </c>
      <c r="I294" s="8" t="n">
        <v>2716</v>
      </c>
      <c r="J294" s="4" t="inlineStr">
        <is>
          <t>724057444463</t>
        </is>
      </c>
      <c r="K294" s="4" t="inlineStr">
        <is>
          <t>XFZFK3833L</t>
        </is>
      </c>
      <c r="L294" s="4" t="inlineStr">
        <is>
          <t>816819983454</t>
        </is>
      </c>
      <c r="M294" s="4" t="n">
        <v>30</v>
      </c>
      <c r="N294" s="4" t="n">
        <v>0</v>
      </c>
      <c r="O294" s="4">
        <f>IFERROR(INDEX('01_Customer_Tracker'!$B:$B,MATCH(B294,'01_Customer_Tracker'!$A:$A,0)),"")</f>
        <v/>
      </c>
    </row>
    <row r="295">
      <c r="A295" s="4" t="inlineStr">
        <is>
          <t>E294</t>
        </is>
      </c>
      <c r="B295" s="4" t="inlineStr">
        <is>
          <t>C005</t>
        </is>
      </c>
      <c r="C295" s="4" t="inlineStr">
        <is>
          <t>Anika Desai</t>
        </is>
      </c>
      <c r="D295" s="4" t="inlineStr">
        <is>
          <t>HR</t>
        </is>
      </c>
      <c r="E295" s="8" t="n">
        <v>64719</v>
      </c>
      <c r="F295" s="8" t="n">
        <v>25888</v>
      </c>
      <c r="G295" s="8" t="n">
        <v>7818</v>
      </c>
      <c r="H295" s="8" t="n">
        <v>2485</v>
      </c>
      <c r="I295" s="8" t="n">
        <v>0</v>
      </c>
      <c r="J295" s="4" t="inlineStr">
        <is>
          <t>515768377777</t>
        </is>
      </c>
      <c r="K295" s="4" t="inlineStr">
        <is>
          <t>EJUQF5914V</t>
        </is>
      </c>
      <c r="L295" s="4" t="inlineStr">
        <is>
          <t>453452872520</t>
        </is>
      </c>
      <c r="M295" s="4" t="n">
        <v>24</v>
      </c>
      <c r="N295" s="4" t="n">
        <v>0</v>
      </c>
      <c r="O295" s="4">
        <f>IFERROR(INDEX('01_Customer_Tracker'!$B:$B,MATCH(B295,'01_Customer_Tracker'!$A:$A,0)),"")</f>
        <v/>
      </c>
    </row>
    <row r="296">
      <c r="A296" s="4" t="inlineStr">
        <is>
          <t>E295</t>
        </is>
      </c>
      <c r="B296" s="4" t="inlineStr">
        <is>
          <t>C001</t>
        </is>
      </c>
      <c r="C296" s="4" t="inlineStr">
        <is>
          <t>Meera Pillai</t>
        </is>
      </c>
      <c r="D296" s="4" t="inlineStr">
        <is>
          <t>Finance</t>
        </is>
      </c>
      <c r="E296" s="8" t="n">
        <v>43413</v>
      </c>
      <c r="F296" s="8" t="n">
        <v>17365</v>
      </c>
      <c r="G296" s="8" t="n">
        <v>1938</v>
      </c>
      <c r="H296" s="8" t="n">
        <v>2853</v>
      </c>
      <c r="I296" s="8" t="n">
        <v>0</v>
      </c>
      <c r="J296" s="4" t="inlineStr">
        <is>
          <t>755965557810</t>
        </is>
      </c>
      <c r="K296" s="4" t="inlineStr">
        <is>
          <t>SDRYT5324N</t>
        </is>
      </c>
      <c r="L296" s="4" t="inlineStr">
        <is>
          <t>317340645728</t>
        </is>
      </c>
      <c r="M296" s="4" t="n">
        <v>25</v>
      </c>
      <c r="N296" s="4" t="n">
        <v>0</v>
      </c>
      <c r="O296" s="4">
        <f>IFERROR(INDEX('01_Customer_Tracker'!$B:$B,MATCH(B296,'01_Customer_Tracker'!$A:$A,0)),"")</f>
        <v/>
      </c>
    </row>
    <row r="297">
      <c r="A297" s="4" t="inlineStr">
        <is>
          <t>E296</t>
        </is>
      </c>
      <c r="B297" s="4" t="inlineStr">
        <is>
          <t>C038</t>
        </is>
      </c>
      <c r="C297" s="4" t="inlineStr">
        <is>
          <t>Aadhya Singh</t>
        </is>
      </c>
      <c r="D297" s="4" t="inlineStr">
        <is>
          <t>Engineering</t>
        </is>
      </c>
      <c r="E297" s="8" t="n">
        <v>68813</v>
      </c>
      <c r="F297" s="8" t="n">
        <v>27525</v>
      </c>
      <c r="G297" s="8" t="n">
        <v>6130</v>
      </c>
      <c r="H297" s="8" t="n">
        <v>5227</v>
      </c>
      <c r="I297" s="8" t="n">
        <v>0</v>
      </c>
      <c r="J297" s="4" t="inlineStr">
        <is>
          <t>551694608234</t>
        </is>
      </c>
      <c r="K297" s="4" t="inlineStr">
        <is>
          <t>MLRVI8646E</t>
        </is>
      </c>
      <c r="L297" s="4" t="inlineStr">
        <is>
          <t>958078223787</t>
        </is>
      </c>
      <c r="M297" s="4" t="n">
        <v>26</v>
      </c>
      <c r="N297" s="4" t="n">
        <v>0</v>
      </c>
      <c r="O297" s="4">
        <f>IFERROR(INDEX('01_Customer_Tracker'!$B:$B,MATCH(B297,'01_Customer_Tracker'!$A:$A,0)),"")</f>
        <v/>
      </c>
    </row>
    <row r="298">
      <c r="A298" s="4" t="inlineStr">
        <is>
          <t>E297</t>
        </is>
      </c>
      <c r="B298" s="4" t="inlineStr">
        <is>
          <t>C007</t>
        </is>
      </c>
      <c r="C298" s="4" t="inlineStr">
        <is>
          <t>Pari Pillai</t>
        </is>
      </c>
      <c r="D298" s="4" t="inlineStr">
        <is>
          <t>Finance</t>
        </is>
      </c>
      <c r="E298" s="8" t="n">
        <v>87511</v>
      </c>
      <c r="F298" s="8" t="n">
        <v>35004</v>
      </c>
      <c r="G298" s="8" t="n">
        <v>9273</v>
      </c>
      <c r="H298" s="8" t="n">
        <v>4925</v>
      </c>
      <c r="I298" s="8" t="n">
        <v>2694</v>
      </c>
      <c r="J298" s="4" t="inlineStr">
        <is>
          <t>127589351864</t>
        </is>
      </c>
      <c r="K298" s="4" t="inlineStr">
        <is>
          <t>PDURH7634S</t>
        </is>
      </c>
      <c r="L298" s="4" t="inlineStr">
        <is>
          <t>919080706716</t>
        </is>
      </c>
      <c r="M298" s="4" t="n">
        <v>30</v>
      </c>
      <c r="N298" s="4" t="n">
        <v>0</v>
      </c>
      <c r="O298" s="4">
        <f>IFERROR(INDEX('01_Customer_Tracker'!$B:$B,MATCH(B298,'01_Customer_Tracker'!$A:$A,0)),"")</f>
        <v/>
      </c>
    </row>
    <row r="299">
      <c r="A299" s="4" t="inlineStr">
        <is>
          <t>E298</t>
        </is>
      </c>
      <c r="B299" s="4" t="inlineStr">
        <is>
          <t>C029</t>
        </is>
      </c>
      <c r="C299" s="4" t="inlineStr">
        <is>
          <t>Krishna Mehta</t>
        </is>
      </c>
      <c r="D299" s="4" t="inlineStr">
        <is>
          <t>HR</t>
        </is>
      </c>
      <c r="E299" s="8" t="n">
        <v>60164</v>
      </c>
      <c r="F299" s="8" t="n">
        <v>24066</v>
      </c>
      <c r="G299" s="8" t="n">
        <v>5906</v>
      </c>
      <c r="H299" s="8" t="n">
        <v>4810</v>
      </c>
      <c r="I299" s="8" t="n">
        <v>1048</v>
      </c>
      <c r="J299" s="4" t="inlineStr">
        <is>
          <t>412532162264</t>
        </is>
      </c>
      <c r="K299" s="4" t="inlineStr">
        <is>
          <t>LQLOB2406Y</t>
        </is>
      </c>
      <c r="L299" s="4" t="inlineStr">
        <is>
          <t>432523941562</t>
        </is>
      </c>
      <c r="M299" s="4" t="n">
        <v>27</v>
      </c>
      <c r="N299" s="4" t="n">
        <v>0</v>
      </c>
      <c r="O299" s="4">
        <f>IFERROR(INDEX('01_Customer_Tracker'!$B:$B,MATCH(B299,'01_Customer_Tracker'!$A:$A,0)),"")</f>
        <v/>
      </c>
    </row>
    <row r="300">
      <c r="A300" s="4" t="inlineStr">
        <is>
          <t>E299</t>
        </is>
      </c>
      <c r="B300" s="4" t="inlineStr">
        <is>
          <t>C003</t>
        </is>
      </c>
      <c r="C300" s="4" t="inlineStr">
        <is>
          <t>Diya Rao</t>
        </is>
      </c>
      <c r="D300" s="4" t="inlineStr">
        <is>
          <t>Engineering</t>
        </is>
      </c>
      <c r="E300" s="8" t="n">
        <v>38223</v>
      </c>
      <c r="F300" s="8" t="n">
        <v>15289</v>
      </c>
      <c r="G300" s="8" t="n">
        <v>6413</v>
      </c>
      <c r="H300" s="8" t="n">
        <v>1651</v>
      </c>
      <c r="I300" s="8" t="n">
        <v>0</v>
      </c>
      <c r="J300" s="4" t="inlineStr">
        <is>
          <t>543883222430</t>
        </is>
      </c>
      <c r="K300" s="4" t="inlineStr"/>
      <c r="L300" s="4" t="inlineStr">
        <is>
          <t>788331653519</t>
        </is>
      </c>
      <c r="M300" s="4" t="n">
        <v>24</v>
      </c>
      <c r="N300" s="4" t="n">
        <v>0</v>
      </c>
      <c r="O300" s="4">
        <f>IFERROR(INDEX('01_Customer_Tracker'!$B:$B,MATCH(B300,'01_Customer_Tracker'!$A:$A,0)),"")</f>
        <v/>
      </c>
    </row>
    <row r="301">
      <c r="A301" s="4" t="inlineStr">
        <is>
          <t>E300</t>
        </is>
      </c>
      <c r="B301" s="4" t="inlineStr">
        <is>
          <t>C010</t>
        </is>
      </c>
      <c r="C301" s="4" t="inlineStr">
        <is>
          <t>Anika Reddy</t>
        </is>
      </c>
      <c r="D301" s="4" t="inlineStr">
        <is>
          <t>Sales</t>
        </is>
      </c>
      <c r="E301" s="8" t="n">
        <v>31445</v>
      </c>
      <c r="F301" s="8" t="n">
        <v>12578</v>
      </c>
      <c r="G301" s="8" t="n">
        <v>3603</v>
      </c>
      <c r="H301" s="8" t="n">
        <v>812</v>
      </c>
      <c r="I301" s="8" t="n">
        <v>0</v>
      </c>
      <c r="J301" s="4" t="inlineStr">
        <is>
          <t>625578231861</t>
        </is>
      </c>
      <c r="K301" s="4" t="inlineStr">
        <is>
          <t>IRNXL3655P</t>
        </is>
      </c>
      <c r="L301" s="4" t="inlineStr">
        <is>
          <t>603750561199</t>
        </is>
      </c>
      <c r="M301" s="4" t="n">
        <v>28</v>
      </c>
      <c r="N301" s="4" t="n">
        <v>0</v>
      </c>
      <c r="O301" s="4">
        <f>IFERROR(INDEX('01_Customer_Tracker'!$B:$B,MATCH(B301,'01_Customer_Tracker'!$A:$A,0)),"")</f>
        <v/>
      </c>
    </row>
  </sheetData>
  <conditionalFormatting sqref="J2:J301">
    <cfRule type="cellIs" priority="1" operator="equal" dxfId="0">
      <formula>""</formula>
    </cfRule>
  </conditionalFormatting>
  <conditionalFormatting sqref="K2:K301">
    <cfRule type="cellIs" priority="2" operator="equal" dxfId="3">
      <formula>""</formula>
    </cfRule>
  </conditionalFormatting>
  <conditionalFormatting sqref="M2:M301">
    <cfRule type="cellIs" priority="3" operator="equal" dxfId="1">
      <formula>0</formula>
    </cfRule>
  </conditionalFormatting>
  <conditionalFormatting sqref="G2:G301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5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>
      <c r="A1" s="1" t="inlineStr">
        <is>
          <t>employee_id</t>
        </is>
      </c>
      <c r="B1" s="1" t="inlineStr">
        <is>
          <t>customer_id</t>
        </is>
      </c>
      <c r="C1" s="1" t="inlineStr">
        <is>
          <t>gross_earnings</t>
        </is>
      </c>
      <c r="D1" s="1" t="inlineStr">
        <is>
          <t>expected_net_pay</t>
        </is>
      </c>
      <c r="E1" s="1" t="inlineStr">
        <is>
          <t>processed_net_pay</t>
        </is>
      </c>
      <c r="F1" s="1" t="inlineStr">
        <is>
          <t>pf_deduction</t>
        </is>
      </c>
      <c r="G1" s="1" t="inlineStr">
        <is>
          <t>esi_deduction</t>
        </is>
      </c>
      <c r="H1" s="1" t="inlineStr">
        <is>
          <t>pt_deduction</t>
        </is>
      </c>
      <c r="I1" s="1" t="inlineStr">
        <is>
          <t>tds_deduction</t>
        </is>
      </c>
      <c r="J1" s="1" t="inlineStr">
        <is>
          <t>variance</t>
        </is>
      </c>
      <c r="K1" s="1" t="inlineStr">
        <is>
          <t>department</t>
        </is>
      </c>
      <c r="L1" s="1" t="inlineStr">
        <is>
          <t>bank_account_no</t>
        </is>
      </c>
    </row>
    <row r="2">
      <c r="A2" s="4" t="inlineStr">
        <is>
          <t>E001</t>
        </is>
      </c>
      <c r="B2" s="4" t="inlineStr">
        <is>
          <t>C041</t>
        </is>
      </c>
      <c r="C2" s="8" t="n">
        <v>59732</v>
      </c>
      <c r="D2" s="8" t="n">
        <v>55431</v>
      </c>
      <c r="E2" s="8" t="n">
        <v>55431</v>
      </c>
      <c r="F2" s="8" t="n">
        <v>4101</v>
      </c>
      <c r="G2" s="8" t="n">
        <v>0</v>
      </c>
      <c r="H2" s="8" t="n">
        <v>200</v>
      </c>
      <c r="I2" s="8" t="n">
        <v>0</v>
      </c>
      <c r="J2" s="9" t="n">
        <v>0</v>
      </c>
      <c r="K2" s="4">
        <f>IFERROR(INDEX('02_Employee_Master'!$D:$D,MATCH(A2,'02_Employee_Master'!$A:$A,0)),"")</f>
        <v/>
      </c>
      <c r="L2" s="4">
        <f>IFERROR(INDEX('02_Employee_Master'!$J:$J,MATCH(A2,'02_Employee_Master'!$A:$A,0)),"")</f>
        <v/>
      </c>
    </row>
    <row r="3">
      <c r="A3" s="4" t="inlineStr">
        <is>
          <t>E002</t>
        </is>
      </c>
      <c r="B3" s="4" t="inlineStr">
        <is>
          <t>C032</t>
        </is>
      </c>
      <c r="C3" s="8" t="n">
        <v>136733</v>
      </c>
      <c r="D3" s="8" t="n">
        <v>119344</v>
      </c>
      <c r="E3" s="8" t="n">
        <v>119344</v>
      </c>
      <c r="F3" s="8" t="n">
        <v>10242</v>
      </c>
      <c r="G3" s="8" t="n">
        <v>0</v>
      </c>
      <c r="H3" s="8" t="n">
        <v>200</v>
      </c>
      <c r="I3" s="8" t="n">
        <v>4102</v>
      </c>
      <c r="J3" s="9" t="n">
        <v>0</v>
      </c>
      <c r="K3" s="4">
        <f>IFERROR(INDEX('02_Employee_Master'!$D:$D,MATCH(A3,'02_Employee_Master'!$A:$A,0)),"")</f>
        <v/>
      </c>
      <c r="L3" s="4">
        <f>IFERROR(INDEX('02_Employee_Master'!$J:$J,MATCH(A3,'02_Employee_Master'!$A:$A,0)),"")</f>
        <v/>
      </c>
    </row>
    <row r="4">
      <c r="A4" s="4" t="inlineStr">
        <is>
          <t>E003</t>
        </is>
      </c>
      <c r="B4" s="4" t="inlineStr">
        <is>
          <t>C046</t>
        </is>
      </c>
      <c r="C4" s="8" t="n">
        <v>128298</v>
      </c>
      <c r="D4" s="8" t="n">
        <v>114369</v>
      </c>
      <c r="E4" s="8" t="n">
        <v>114369</v>
      </c>
      <c r="F4" s="8" t="n">
        <v>9880</v>
      </c>
      <c r="G4" s="8" t="n">
        <v>0</v>
      </c>
      <c r="H4" s="8" t="n">
        <v>200</v>
      </c>
      <c r="I4" s="8" t="n">
        <v>3849</v>
      </c>
      <c r="J4" s="9" t="n">
        <v>0</v>
      </c>
      <c r="K4" s="4">
        <f>IFERROR(INDEX('02_Employee_Master'!$D:$D,MATCH(A4,'02_Employee_Master'!$A:$A,0)),"")</f>
        <v/>
      </c>
      <c r="L4" s="4">
        <f>IFERROR(INDEX('02_Employee_Master'!$J:$J,MATCH(A4,'02_Employee_Master'!$A:$A,0)),"")</f>
        <v/>
      </c>
    </row>
    <row r="5">
      <c r="A5" s="4" t="inlineStr">
        <is>
          <t>E004</t>
        </is>
      </c>
      <c r="B5" s="4" t="inlineStr">
        <is>
          <t>C032</t>
        </is>
      </c>
      <c r="C5" s="8" t="n">
        <v>63160</v>
      </c>
      <c r="D5" s="8" t="n">
        <v>55497</v>
      </c>
      <c r="E5" s="8" t="n">
        <v>55497</v>
      </c>
      <c r="F5" s="8" t="n">
        <v>4798</v>
      </c>
      <c r="G5" s="8" t="n">
        <v>0</v>
      </c>
      <c r="H5" s="8" t="n">
        <v>200</v>
      </c>
      <c r="I5" s="8" t="n">
        <v>0</v>
      </c>
      <c r="J5" s="9" t="n">
        <v>0</v>
      </c>
      <c r="K5" s="4">
        <f>IFERROR(INDEX('02_Employee_Master'!$D:$D,MATCH(A5,'02_Employee_Master'!$A:$A,0)),"")</f>
        <v/>
      </c>
      <c r="L5" s="4">
        <f>IFERROR(INDEX('02_Employee_Master'!$J:$J,MATCH(A5,'02_Employee_Master'!$A:$A,0)),"")</f>
        <v/>
      </c>
    </row>
    <row r="6">
      <c r="A6" s="4" t="inlineStr">
        <is>
          <t>E005</t>
        </is>
      </c>
      <c r="B6" s="4" t="inlineStr">
        <is>
          <t>C048</t>
        </is>
      </c>
      <c r="C6" s="8" t="n">
        <v>75711</v>
      </c>
      <c r="D6" s="8" t="n">
        <v>69367</v>
      </c>
      <c r="E6" s="8" t="n">
        <v>69334</v>
      </c>
      <c r="F6" s="8" t="n">
        <v>6144</v>
      </c>
      <c r="G6" s="8" t="n">
        <v>0</v>
      </c>
      <c r="H6" s="8" t="n">
        <v>200</v>
      </c>
      <c r="I6" s="8" t="n">
        <v>0</v>
      </c>
      <c r="J6" s="9" t="n">
        <v>-33</v>
      </c>
      <c r="K6" s="4">
        <f>IFERROR(INDEX('02_Employee_Master'!$D:$D,MATCH(A6,'02_Employee_Master'!$A:$A,0)),"")</f>
        <v/>
      </c>
      <c r="L6" s="4">
        <f>IFERROR(INDEX('02_Employee_Master'!$J:$J,MATCH(A6,'02_Employee_Master'!$A:$A,0)),"")</f>
        <v/>
      </c>
    </row>
    <row r="7">
      <c r="A7" s="4" t="inlineStr">
        <is>
          <t>E006</t>
        </is>
      </c>
      <c r="B7" s="4" t="inlineStr">
        <is>
          <t>C038</t>
        </is>
      </c>
      <c r="C7" s="8" t="n">
        <v>93795</v>
      </c>
      <c r="D7" s="8" t="n">
        <v>86214</v>
      </c>
      <c r="E7" s="8" t="n">
        <v>86214</v>
      </c>
      <c r="F7" s="8" t="n">
        <v>7381</v>
      </c>
      <c r="G7" s="8" t="n">
        <v>0</v>
      </c>
      <c r="H7" s="8" t="n">
        <v>200</v>
      </c>
      <c r="I7" s="8" t="n">
        <v>0</v>
      </c>
      <c r="J7" s="9" t="n">
        <v>0</v>
      </c>
      <c r="K7" s="4">
        <f>IFERROR(INDEX('02_Employee_Master'!$D:$D,MATCH(A7,'02_Employee_Master'!$A:$A,0)),"")</f>
        <v/>
      </c>
      <c r="L7" s="4">
        <f>IFERROR(INDEX('02_Employee_Master'!$J:$J,MATCH(A7,'02_Employee_Master'!$A:$A,0)),"")</f>
        <v/>
      </c>
    </row>
    <row r="8">
      <c r="A8" s="4" t="inlineStr">
        <is>
          <t>E007</t>
        </is>
      </c>
      <c r="B8" s="4" t="inlineStr">
        <is>
          <t>C030</t>
        </is>
      </c>
      <c r="C8" s="8" t="n">
        <v>54308</v>
      </c>
      <c r="D8" s="8" t="n">
        <v>50020</v>
      </c>
      <c r="E8" s="8" t="n">
        <v>50020</v>
      </c>
      <c r="F8" s="8" t="n">
        <v>4088</v>
      </c>
      <c r="G8" s="8" t="n">
        <v>0</v>
      </c>
      <c r="H8" s="8" t="n">
        <v>200</v>
      </c>
      <c r="I8" s="8" t="n">
        <v>0</v>
      </c>
      <c r="J8" s="9" t="n">
        <v>0</v>
      </c>
      <c r="K8" s="4">
        <f>IFERROR(INDEX('02_Employee_Master'!$D:$D,MATCH(A8,'02_Employee_Master'!$A:$A,0)),"")</f>
        <v/>
      </c>
      <c r="L8" s="4">
        <f>IFERROR(INDEX('02_Employee_Master'!$J:$J,MATCH(A8,'02_Employee_Master'!$A:$A,0)),"")</f>
        <v/>
      </c>
    </row>
    <row r="9">
      <c r="A9" s="4" t="inlineStr">
        <is>
          <t>E008</t>
        </is>
      </c>
      <c r="B9" s="4" t="inlineStr">
        <is>
          <t>C005</t>
        </is>
      </c>
      <c r="C9" s="8" t="n">
        <v>78986</v>
      </c>
      <c r="D9" s="8" t="n">
        <v>73260</v>
      </c>
      <c r="E9" s="8" t="n">
        <v>67734</v>
      </c>
      <c r="F9" s="8" t="n">
        <v>5526</v>
      </c>
      <c r="G9" s="8" t="n">
        <v>0</v>
      </c>
      <c r="H9" s="8" t="n">
        <v>200</v>
      </c>
      <c r="I9" s="8" t="n">
        <v>0</v>
      </c>
      <c r="J9" s="9" t="n">
        <v>-5526</v>
      </c>
      <c r="K9" s="4">
        <f>IFERROR(INDEX('02_Employee_Master'!$D:$D,MATCH(A9,'02_Employee_Master'!$A:$A,0)),"")</f>
        <v/>
      </c>
      <c r="L9" s="4">
        <f>IFERROR(INDEX('02_Employee_Master'!$J:$J,MATCH(A9,'02_Employee_Master'!$A:$A,0)),"")</f>
        <v/>
      </c>
    </row>
    <row r="10">
      <c r="A10" s="4" t="inlineStr">
        <is>
          <t>E009</t>
        </is>
      </c>
      <c r="B10" s="4" t="inlineStr">
        <is>
          <t>C012</t>
        </is>
      </c>
      <c r="C10" s="8" t="n">
        <v>45517</v>
      </c>
      <c r="D10" s="8" t="n">
        <v>42186</v>
      </c>
      <c r="E10" s="8" t="n">
        <v>42186</v>
      </c>
      <c r="F10" s="8" t="n">
        <v>3131</v>
      </c>
      <c r="G10" s="8" t="n">
        <v>0</v>
      </c>
      <c r="H10" s="8" t="n">
        <v>200</v>
      </c>
      <c r="I10" s="8" t="n">
        <v>0</v>
      </c>
      <c r="J10" s="9" t="n">
        <v>0</v>
      </c>
      <c r="K10" s="4">
        <f>IFERROR(INDEX('02_Employee_Master'!$D:$D,MATCH(A10,'02_Employee_Master'!$A:$A,0)),"")</f>
        <v/>
      </c>
      <c r="L10" s="4">
        <f>IFERROR(INDEX('02_Employee_Master'!$J:$J,MATCH(A10,'02_Employee_Master'!$A:$A,0)),"")</f>
        <v/>
      </c>
    </row>
    <row r="11">
      <c r="A11" s="4" t="inlineStr">
        <is>
          <t>E191</t>
        </is>
      </c>
      <c r="B11" s="4" t="inlineStr">
        <is>
          <t>C030</t>
        </is>
      </c>
      <c r="C11" s="8" t="n">
        <v>43597</v>
      </c>
      <c r="D11" s="8" t="n">
        <v>40455</v>
      </c>
      <c r="E11" s="8" t="n">
        <v>40455</v>
      </c>
      <c r="F11" s="8" t="n">
        <v>2942</v>
      </c>
      <c r="G11" s="8" t="n">
        <v>0</v>
      </c>
      <c r="H11" s="8" t="n">
        <v>200</v>
      </c>
      <c r="I11" s="8" t="n">
        <v>0</v>
      </c>
      <c r="J11" s="9" t="n">
        <v>0</v>
      </c>
      <c r="K11" s="4">
        <f>IFERROR(INDEX('02_Employee_Master'!$D:$D,MATCH(A11,'02_Employee_Master'!$A:$A,0)),"")</f>
        <v/>
      </c>
      <c r="L11" s="4">
        <f>IFERROR(INDEX('02_Employee_Master'!$J:$J,MATCH(A11,'02_Employee_Master'!$A:$A,0)),"")</f>
        <v/>
      </c>
    </row>
    <row r="12">
      <c r="A12" s="4" t="inlineStr">
        <is>
          <t>E011</t>
        </is>
      </c>
      <c r="B12" s="4" t="inlineStr">
        <is>
          <t>C009</t>
        </is>
      </c>
      <c r="C12" s="8" t="n">
        <v>30815</v>
      </c>
      <c r="D12" s="8" t="n">
        <v>28652</v>
      </c>
      <c r="E12" s="8" t="n">
        <v>23568</v>
      </c>
      <c r="F12" s="8" t="n">
        <v>1963</v>
      </c>
      <c r="G12" s="8" t="n">
        <v>0</v>
      </c>
      <c r="H12" s="8" t="n">
        <v>200</v>
      </c>
      <c r="I12" s="8" t="n">
        <v>0</v>
      </c>
      <c r="J12" s="9" t="n">
        <v>-5084</v>
      </c>
      <c r="K12" s="4">
        <f>IFERROR(INDEX('02_Employee_Master'!$D:$D,MATCH(A12,'02_Employee_Master'!$A:$A,0)),"")</f>
        <v/>
      </c>
      <c r="L12" s="4">
        <f>IFERROR(INDEX('02_Employee_Master'!$J:$J,MATCH(A12,'02_Employee_Master'!$A:$A,0)),"")</f>
        <v/>
      </c>
    </row>
    <row r="13">
      <c r="A13" s="4" t="inlineStr">
        <is>
          <t>E012</t>
        </is>
      </c>
      <c r="B13" s="4" t="inlineStr">
        <is>
          <t>C031</t>
        </is>
      </c>
      <c r="C13" s="8" t="n">
        <v>108998</v>
      </c>
      <c r="D13" s="8" t="n">
        <v>97269</v>
      </c>
      <c r="E13" s="8" t="n">
        <v>97269</v>
      </c>
      <c r="F13" s="8" t="n">
        <v>8259</v>
      </c>
      <c r="G13" s="8" t="n">
        <v>0</v>
      </c>
      <c r="H13" s="8" t="n">
        <v>200</v>
      </c>
      <c r="I13" s="8" t="n">
        <v>3270</v>
      </c>
      <c r="J13" s="9" t="n">
        <v>0</v>
      </c>
      <c r="K13" s="4">
        <f>IFERROR(INDEX('02_Employee_Master'!$D:$D,MATCH(A13,'02_Employee_Master'!$A:$A,0)),"")</f>
        <v/>
      </c>
      <c r="L13" s="4">
        <f>IFERROR(INDEX('02_Employee_Master'!$J:$J,MATCH(A13,'02_Employee_Master'!$A:$A,0)),"")</f>
        <v/>
      </c>
    </row>
    <row r="14">
      <c r="A14" s="4" t="inlineStr">
        <is>
          <t>E013</t>
        </is>
      </c>
      <c r="B14" s="4" t="inlineStr">
        <is>
          <t>C048</t>
        </is>
      </c>
      <c r="C14" s="8" t="n">
        <v>80502</v>
      </c>
      <c r="D14" s="8" t="n">
        <v>74283</v>
      </c>
      <c r="E14" s="8" t="n">
        <v>74213</v>
      </c>
      <c r="F14" s="8" t="n">
        <v>6019</v>
      </c>
      <c r="G14" s="8" t="n">
        <v>0</v>
      </c>
      <c r="H14" s="8" t="n">
        <v>200</v>
      </c>
      <c r="I14" s="8" t="n">
        <v>0</v>
      </c>
      <c r="J14" s="9" t="n">
        <v>-70</v>
      </c>
      <c r="K14" s="4">
        <f>IFERROR(INDEX('02_Employee_Master'!$D:$D,MATCH(A14,'02_Employee_Master'!$A:$A,0)),"")</f>
        <v/>
      </c>
      <c r="L14" s="4">
        <f>IFERROR(INDEX('02_Employee_Master'!$J:$J,MATCH(A14,'02_Employee_Master'!$A:$A,0)),"")</f>
        <v/>
      </c>
    </row>
    <row r="15">
      <c r="A15" s="4" t="inlineStr">
        <is>
          <t>E014</t>
        </is>
      </c>
      <c r="B15" s="4" t="inlineStr">
        <is>
          <t>C005</t>
        </is>
      </c>
      <c r="C15" s="8" t="n">
        <v>80908</v>
      </c>
      <c r="D15" s="8" t="n">
        <v>74255</v>
      </c>
      <c r="E15" s="8" t="n">
        <v>67802</v>
      </c>
      <c r="F15" s="8" t="n">
        <v>6453</v>
      </c>
      <c r="G15" s="8" t="n">
        <v>0</v>
      </c>
      <c r="H15" s="8" t="n">
        <v>200</v>
      </c>
      <c r="I15" s="8" t="n">
        <v>0</v>
      </c>
      <c r="J15" s="9" t="n">
        <v>-6453</v>
      </c>
      <c r="K15" s="4">
        <f>IFERROR(INDEX('02_Employee_Master'!$D:$D,MATCH(A15,'02_Employee_Master'!$A:$A,0)),"")</f>
        <v/>
      </c>
      <c r="L15" s="4">
        <f>IFERROR(INDEX('02_Employee_Master'!$J:$J,MATCH(A15,'02_Employee_Master'!$A:$A,0)),"")</f>
        <v/>
      </c>
    </row>
    <row r="16">
      <c r="A16" s="4" t="inlineStr">
        <is>
          <t>E015</t>
        </is>
      </c>
      <c r="B16" s="4" t="inlineStr">
        <is>
          <t>C003</t>
        </is>
      </c>
      <c r="C16" s="8" t="n">
        <v>71428</v>
      </c>
      <c r="D16" s="8" t="n">
        <v>65326</v>
      </c>
      <c r="E16" s="8" t="n">
        <v>65326</v>
      </c>
      <c r="F16" s="8" t="n">
        <v>5902</v>
      </c>
      <c r="G16" s="8" t="n">
        <v>0</v>
      </c>
      <c r="H16" s="8" t="n">
        <v>200</v>
      </c>
      <c r="I16" s="8" t="n">
        <v>0</v>
      </c>
      <c r="J16" s="9" t="n">
        <v>0</v>
      </c>
      <c r="K16" s="4">
        <f>IFERROR(INDEX('02_Employee_Master'!$D:$D,MATCH(A16,'02_Employee_Master'!$A:$A,0)),"")</f>
        <v/>
      </c>
      <c r="L16" s="4">
        <f>IFERROR(INDEX('02_Employee_Master'!$J:$J,MATCH(A16,'02_Employee_Master'!$A:$A,0)),"")</f>
        <v/>
      </c>
    </row>
    <row r="17">
      <c r="A17" s="4" t="inlineStr">
        <is>
          <t>E016</t>
        </is>
      </c>
      <c r="B17" s="4" t="inlineStr">
        <is>
          <t>C032</t>
        </is>
      </c>
      <c r="C17" s="8" t="n">
        <v>97928</v>
      </c>
      <c r="D17" s="8" t="n">
        <v>90746</v>
      </c>
      <c r="E17" s="8" t="n">
        <v>90746</v>
      </c>
      <c r="F17" s="8" t="n">
        <v>6982</v>
      </c>
      <c r="G17" s="8" t="n">
        <v>0</v>
      </c>
      <c r="H17" s="8" t="n">
        <v>200</v>
      </c>
      <c r="I17" s="8" t="n">
        <v>0</v>
      </c>
      <c r="J17" s="9" t="n">
        <v>0</v>
      </c>
      <c r="K17" s="4">
        <f>IFERROR(INDEX('02_Employee_Master'!$D:$D,MATCH(A17,'02_Employee_Master'!$A:$A,0)),"")</f>
        <v/>
      </c>
      <c r="L17" s="4">
        <f>IFERROR(INDEX('02_Employee_Master'!$J:$J,MATCH(A17,'02_Employee_Master'!$A:$A,0)),"")</f>
        <v/>
      </c>
    </row>
    <row r="18">
      <c r="A18" s="4" t="inlineStr">
        <is>
          <t>E017</t>
        </is>
      </c>
      <c r="B18" s="4" t="inlineStr">
        <is>
          <t>C048</t>
        </is>
      </c>
      <c r="C18" s="8" t="n">
        <v>39203</v>
      </c>
      <c r="D18" s="8" t="n">
        <v>36313</v>
      </c>
      <c r="E18" s="8" t="n">
        <v>36231</v>
      </c>
      <c r="F18" s="8" t="n">
        <v>2690</v>
      </c>
      <c r="G18" s="8" t="n">
        <v>0</v>
      </c>
      <c r="H18" s="8" t="n">
        <v>200</v>
      </c>
      <c r="I18" s="8" t="n">
        <v>0</v>
      </c>
      <c r="J18" s="9" t="n">
        <v>-82</v>
      </c>
      <c r="K18" s="4">
        <f>IFERROR(INDEX('02_Employee_Master'!$D:$D,MATCH(A18,'02_Employee_Master'!$A:$A,0)),"")</f>
        <v/>
      </c>
      <c r="L18" s="4">
        <f>IFERROR(INDEX('02_Employee_Master'!$J:$J,MATCH(A18,'02_Employee_Master'!$A:$A,0)),"")</f>
        <v/>
      </c>
    </row>
    <row r="19">
      <c r="A19" s="4" t="inlineStr">
        <is>
          <t>E018</t>
        </is>
      </c>
      <c r="B19" s="4" t="inlineStr">
        <is>
          <t>C026</t>
        </is>
      </c>
      <c r="C19" s="8" t="n">
        <v>59818</v>
      </c>
      <c r="D19" s="8" t="n">
        <v>55615</v>
      </c>
      <c r="E19" s="8" t="n">
        <v>55615</v>
      </c>
      <c r="F19" s="8" t="n">
        <v>4003</v>
      </c>
      <c r="G19" s="8" t="n">
        <v>0</v>
      </c>
      <c r="H19" s="8" t="n">
        <v>200</v>
      </c>
      <c r="I19" s="8" t="n">
        <v>0</v>
      </c>
      <c r="J19" s="9" t="n">
        <v>0</v>
      </c>
      <c r="K19" s="4">
        <f>IFERROR(INDEX('02_Employee_Master'!$D:$D,MATCH(A19,'02_Employee_Master'!$A:$A,0)),"")</f>
        <v/>
      </c>
      <c r="L19" s="4">
        <f>IFERROR(INDEX('02_Employee_Master'!$J:$J,MATCH(A19,'02_Employee_Master'!$A:$A,0)),"")</f>
        <v/>
      </c>
    </row>
    <row r="20">
      <c r="A20" s="4" t="inlineStr">
        <is>
          <t>E019</t>
        </is>
      </c>
      <c r="B20" s="4" t="inlineStr">
        <is>
          <t>C031</t>
        </is>
      </c>
      <c r="C20" s="8" t="n">
        <v>35904</v>
      </c>
      <c r="D20" s="8" t="n">
        <v>33258</v>
      </c>
      <c r="E20" s="8" t="n">
        <v>33258</v>
      </c>
      <c r="F20" s="8" t="n">
        <v>2446</v>
      </c>
      <c r="G20" s="8" t="n">
        <v>0</v>
      </c>
      <c r="H20" s="8" t="n">
        <v>200</v>
      </c>
      <c r="I20" s="8" t="n">
        <v>0</v>
      </c>
      <c r="J20" s="9" t="n">
        <v>0</v>
      </c>
      <c r="K20" s="4">
        <f>IFERROR(INDEX('02_Employee_Master'!$D:$D,MATCH(A20,'02_Employee_Master'!$A:$A,0)),"")</f>
        <v/>
      </c>
      <c r="L20" s="4">
        <f>IFERROR(INDEX('02_Employee_Master'!$J:$J,MATCH(A20,'02_Employee_Master'!$A:$A,0)),"")</f>
        <v/>
      </c>
    </row>
    <row r="21">
      <c r="A21" s="4" t="inlineStr">
        <is>
          <t>E020</t>
        </is>
      </c>
      <c r="B21" s="4" t="inlineStr">
        <is>
          <t>C039</t>
        </is>
      </c>
      <c r="C21" s="8" t="n">
        <v>97891</v>
      </c>
      <c r="D21" s="8" t="n">
        <v>90633</v>
      </c>
      <c r="E21" s="8" t="n">
        <v>85546</v>
      </c>
      <c r="F21" s="8" t="n">
        <v>7058</v>
      </c>
      <c r="G21" s="8" t="n">
        <v>0</v>
      </c>
      <c r="H21" s="8" t="n">
        <v>200</v>
      </c>
      <c r="I21" s="8" t="n">
        <v>0</v>
      </c>
      <c r="J21" s="9" t="n">
        <v>-5087</v>
      </c>
      <c r="K21" s="4">
        <f>IFERROR(INDEX('02_Employee_Master'!$D:$D,MATCH(A21,'02_Employee_Master'!$A:$A,0)),"")</f>
        <v/>
      </c>
      <c r="L21" s="4">
        <f>IFERROR(INDEX('02_Employee_Master'!$J:$J,MATCH(A21,'02_Employee_Master'!$A:$A,0)),"")</f>
        <v/>
      </c>
    </row>
    <row r="22">
      <c r="A22" s="4" t="inlineStr">
        <is>
          <t>E021</t>
        </is>
      </c>
      <c r="B22" s="4" t="inlineStr">
        <is>
          <t>C015</t>
        </is>
      </c>
      <c r="C22" s="8" t="n">
        <v>71393</v>
      </c>
      <c r="D22" s="8" t="n">
        <v>65929</v>
      </c>
      <c r="E22" s="8" t="n">
        <v>65929</v>
      </c>
      <c r="F22" s="8" t="n">
        <v>5264</v>
      </c>
      <c r="G22" s="8" t="n">
        <v>0</v>
      </c>
      <c r="H22" s="8" t="n">
        <v>200</v>
      </c>
      <c r="I22" s="8" t="n">
        <v>0</v>
      </c>
      <c r="J22" s="9" t="n">
        <v>0</v>
      </c>
      <c r="K22" s="4">
        <f>IFERROR(INDEX('02_Employee_Master'!$D:$D,MATCH(A22,'02_Employee_Master'!$A:$A,0)),"")</f>
        <v/>
      </c>
      <c r="L22" s="4">
        <f>IFERROR(INDEX('02_Employee_Master'!$J:$J,MATCH(A22,'02_Employee_Master'!$A:$A,0)),"")</f>
        <v/>
      </c>
    </row>
    <row r="23">
      <c r="A23" s="4" t="inlineStr">
        <is>
          <t>E022</t>
        </is>
      </c>
      <c r="B23" s="4" t="inlineStr">
        <is>
          <t>C043</t>
        </is>
      </c>
      <c r="C23" s="8" t="n">
        <v>52956</v>
      </c>
      <c r="D23" s="8" t="n">
        <v>48720</v>
      </c>
      <c r="E23" s="8" t="n">
        <v>48720</v>
      </c>
      <c r="F23" s="8" t="n">
        <v>4036</v>
      </c>
      <c r="G23" s="8" t="n">
        <v>0</v>
      </c>
      <c r="H23" s="8" t="n">
        <v>200</v>
      </c>
      <c r="I23" s="8" t="n">
        <v>0</v>
      </c>
      <c r="J23" s="9" t="n">
        <v>0</v>
      </c>
      <c r="K23" s="4">
        <f>IFERROR(INDEX('02_Employee_Master'!$D:$D,MATCH(A23,'02_Employee_Master'!$A:$A,0)),"")</f>
        <v/>
      </c>
      <c r="L23" s="4">
        <f>IFERROR(INDEX('02_Employee_Master'!$J:$J,MATCH(A23,'02_Employee_Master'!$A:$A,0)),"")</f>
        <v/>
      </c>
    </row>
    <row r="24">
      <c r="A24" s="4" t="inlineStr">
        <is>
          <t>E023</t>
        </is>
      </c>
      <c r="B24" s="4" t="inlineStr">
        <is>
          <t>C021</t>
        </is>
      </c>
      <c r="C24" s="8" t="n">
        <v>62200</v>
      </c>
      <c r="D24" s="8" t="n">
        <v>56963</v>
      </c>
      <c r="E24" s="8" t="n">
        <v>56963</v>
      </c>
      <c r="F24" s="8" t="n">
        <v>5037</v>
      </c>
      <c r="G24" s="8" t="n">
        <v>0</v>
      </c>
      <c r="H24" s="8" t="n">
        <v>200</v>
      </c>
      <c r="I24" s="8" t="n">
        <v>0</v>
      </c>
      <c r="J24" s="9" t="n">
        <v>0</v>
      </c>
      <c r="K24" s="4">
        <f>IFERROR(INDEX('02_Employee_Master'!$D:$D,MATCH(A24,'02_Employee_Master'!$A:$A,0)),"")</f>
        <v/>
      </c>
      <c r="L24" s="4">
        <f>IFERROR(INDEX('02_Employee_Master'!$J:$J,MATCH(A24,'02_Employee_Master'!$A:$A,0)),"")</f>
        <v/>
      </c>
    </row>
    <row r="25">
      <c r="A25" s="4" t="inlineStr">
        <is>
          <t>E024</t>
        </is>
      </c>
      <c r="B25" s="4" t="inlineStr">
        <is>
          <t>C046</t>
        </is>
      </c>
      <c r="C25" s="8" t="n">
        <v>67773</v>
      </c>
      <c r="D25" s="8" t="n">
        <v>62879</v>
      </c>
      <c r="E25" s="8" t="n">
        <v>62879</v>
      </c>
      <c r="F25" s="8" t="n">
        <v>4694</v>
      </c>
      <c r="G25" s="8" t="n">
        <v>0</v>
      </c>
      <c r="H25" s="8" t="n">
        <v>200</v>
      </c>
      <c r="I25" s="8" t="n">
        <v>0</v>
      </c>
      <c r="J25" s="9" t="n">
        <v>0</v>
      </c>
      <c r="K25" s="4">
        <f>IFERROR(INDEX('02_Employee_Master'!$D:$D,MATCH(A25,'02_Employee_Master'!$A:$A,0)),"")</f>
        <v/>
      </c>
      <c r="L25" s="4">
        <f>IFERROR(INDEX('02_Employee_Master'!$J:$J,MATCH(A25,'02_Employee_Master'!$A:$A,0)),"")</f>
        <v/>
      </c>
    </row>
    <row r="26">
      <c r="A26" s="4" t="inlineStr">
        <is>
          <t>E025</t>
        </is>
      </c>
      <c r="B26" s="4" t="inlineStr">
        <is>
          <t>C043</t>
        </is>
      </c>
      <c r="C26" s="8" t="n">
        <v>134213</v>
      </c>
      <c r="D26" s="8" t="n">
        <v>119901</v>
      </c>
      <c r="E26" s="8" t="n">
        <v>119901</v>
      </c>
      <c r="F26" s="8" t="n">
        <v>10086</v>
      </c>
      <c r="G26" s="8" t="n">
        <v>0</v>
      </c>
      <c r="H26" s="8" t="n">
        <v>200</v>
      </c>
      <c r="I26" s="8" t="n">
        <v>4026</v>
      </c>
      <c r="J26" s="9" t="n">
        <v>0</v>
      </c>
      <c r="K26" s="4">
        <f>IFERROR(INDEX('02_Employee_Master'!$D:$D,MATCH(A26,'02_Employee_Master'!$A:$A,0)),"")</f>
        <v/>
      </c>
      <c r="L26" s="4">
        <f>IFERROR(INDEX('02_Employee_Master'!$J:$J,MATCH(A26,'02_Employee_Master'!$A:$A,0)),"")</f>
        <v/>
      </c>
    </row>
    <row r="27">
      <c r="A27" s="4" t="inlineStr">
        <is>
          <t>E026</t>
        </is>
      </c>
      <c r="B27" s="4" t="inlineStr">
        <is>
          <t>C022</t>
        </is>
      </c>
      <c r="C27" s="8" t="n">
        <v>110810</v>
      </c>
      <c r="D27" s="8" t="n">
        <v>98700</v>
      </c>
      <c r="E27" s="8" t="n">
        <v>98700</v>
      </c>
      <c r="F27" s="8" t="n">
        <v>8586</v>
      </c>
      <c r="G27" s="8" t="n">
        <v>0</v>
      </c>
      <c r="H27" s="8" t="n">
        <v>200</v>
      </c>
      <c r="I27" s="8" t="n">
        <v>3324</v>
      </c>
      <c r="J27" s="9" t="n">
        <v>0</v>
      </c>
      <c r="K27" s="4">
        <f>IFERROR(INDEX('02_Employee_Master'!$D:$D,MATCH(A27,'02_Employee_Master'!$A:$A,0)),"")</f>
        <v/>
      </c>
      <c r="L27" s="4">
        <f>IFERROR(INDEX('02_Employee_Master'!$J:$J,MATCH(A27,'02_Employee_Master'!$A:$A,0)),"")</f>
        <v/>
      </c>
    </row>
    <row r="28">
      <c r="A28" s="4" t="inlineStr">
        <is>
          <t>E027</t>
        </is>
      </c>
      <c r="B28" s="4" t="inlineStr">
        <is>
          <t>C047</t>
        </is>
      </c>
      <c r="C28" s="8" t="n">
        <v>108865</v>
      </c>
      <c r="D28" s="8" t="n">
        <v>97063</v>
      </c>
      <c r="E28" s="8" t="n">
        <v>97063</v>
      </c>
      <c r="F28" s="8" t="n">
        <v>8336</v>
      </c>
      <c r="G28" s="8" t="n">
        <v>0</v>
      </c>
      <c r="H28" s="8" t="n">
        <v>200</v>
      </c>
      <c r="I28" s="8" t="n">
        <v>3266</v>
      </c>
      <c r="J28" s="9" t="n">
        <v>0</v>
      </c>
      <c r="K28" s="4">
        <f>IFERROR(INDEX('02_Employee_Master'!$D:$D,MATCH(A28,'02_Employee_Master'!$A:$A,0)),"")</f>
        <v/>
      </c>
      <c r="L28" s="4">
        <f>IFERROR(INDEX('02_Employee_Master'!$J:$J,MATCH(A28,'02_Employee_Master'!$A:$A,0)),"")</f>
        <v/>
      </c>
    </row>
    <row r="29">
      <c r="A29" s="4" t="inlineStr">
        <is>
          <t>E028</t>
        </is>
      </c>
      <c r="B29" s="4" t="inlineStr">
        <is>
          <t>C033</t>
        </is>
      </c>
      <c r="C29" s="8" t="n">
        <v>76230</v>
      </c>
      <c r="D29" s="8" t="n">
        <v>70183</v>
      </c>
      <c r="E29" s="8" t="n">
        <v>70183</v>
      </c>
      <c r="F29" s="8" t="n">
        <v>5847</v>
      </c>
      <c r="G29" s="8" t="n">
        <v>0</v>
      </c>
      <c r="H29" s="8" t="n">
        <v>200</v>
      </c>
      <c r="I29" s="8" t="n">
        <v>0</v>
      </c>
      <c r="J29" s="9" t="n">
        <v>0</v>
      </c>
      <c r="K29" s="4">
        <f>IFERROR(INDEX('02_Employee_Master'!$D:$D,MATCH(A29,'02_Employee_Master'!$A:$A,0)),"")</f>
        <v/>
      </c>
      <c r="L29" s="4">
        <f>IFERROR(INDEX('02_Employee_Master'!$J:$J,MATCH(A29,'02_Employee_Master'!$A:$A,0)),"")</f>
        <v/>
      </c>
    </row>
    <row r="30">
      <c r="A30" s="4" t="inlineStr">
        <is>
          <t>E029</t>
        </is>
      </c>
      <c r="B30" s="4" t="inlineStr">
        <is>
          <t>C039</t>
        </is>
      </c>
      <c r="C30" s="8" t="n">
        <v>86348</v>
      </c>
      <c r="D30" s="8" t="n">
        <v>75483</v>
      </c>
      <c r="E30" s="8" t="n">
        <v>74757</v>
      </c>
      <c r="F30" s="8" t="n">
        <v>6856</v>
      </c>
      <c r="G30" s="8" t="n">
        <v>0</v>
      </c>
      <c r="H30" s="8" t="n">
        <v>200</v>
      </c>
      <c r="I30" s="8" t="n">
        <v>0</v>
      </c>
      <c r="J30" s="9" t="n">
        <v>-726</v>
      </c>
      <c r="K30" s="4">
        <f>IFERROR(INDEX('02_Employee_Master'!$D:$D,MATCH(A30,'02_Employee_Master'!$A:$A,0)),"")</f>
        <v/>
      </c>
      <c r="L30" s="4">
        <f>IFERROR(INDEX('02_Employee_Master'!$J:$J,MATCH(A30,'02_Employee_Master'!$A:$A,0)),"")</f>
        <v/>
      </c>
    </row>
    <row r="31">
      <c r="A31" s="4" t="inlineStr">
        <is>
          <t>E030</t>
        </is>
      </c>
      <c r="B31" s="4" t="inlineStr">
        <is>
          <t>C035</t>
        </is>
      </c>
      <c r="C31" s="8" t="n">
        <v>48601</v>
      </c>
      <c r="D31" s="8" t="n">
        <v>43763</v>
      </c>
      <c r="E31" s="8" t="n">
        <v>43763</v>
      </c>
      <c r="F31" s="8" t="n">
        <v>2982</v>
      </c>
      <c r="G31" s="8" t="n">
        <v>0</v>
      </c>
      <c r="H31" s="8" t="n">
        <v>200</v>
      </c>
      <c r="I31" s="8" t="n">
        <v>0</v>
      </c>
      <c r="J31" s="9" t="n">
        <v>0</v>
      </c>
      <c r="K31" s="4">
        <f>IFERROR(INDEX('02_Employee_Master'!$D:$D,MATCH(A31,'02_Employee_Master'!$A:$A,0)),"")</f>
        <v/>
      </c>
      <c r="L31" s="4">
        <f>IFERROR(INDEX('02_Employee_Master'!$J:$J,MATCH(A31,'02_Employee_Master'!$A:$A,0)),"")</f>
        <v/>
      </c>
    </row>
    <row r="32">
      <c r="A32" s="4" t="inlineStr">
        <is>
          <t>E031</t>
        </is>
      </c>
      <c r="B32" s="4" t="inlineStr">
        <is>
          <t>C002</t>
        </is>
      </c>
      <c r="C32" s="8" t="n">
        <v>55742</v>
      </c>
      <c r="D32" s="8" t="n">
        <v>51217</v>
      </c>
      <c r="E32" s="8" t="n">
        <v>51217</v>
      </c>
      <c r="F32" s="8" t="n">
        <v>4325</v>
      </c>
      <c r="G32" s="8" t="n">
        <v>0</v>
      </c>
      <c r="H32" s="8" t="n">
        <v>200</v>
      </c>
      <c r="I32" s="8" t="n">
        <v>0</v>
      </c>
      <c r="J32" s="9" t="n">
        <v>0</v>
      </c>
      <c r="K32" s="4">
        <f>IFERROR(INDEX('02_Employee_Master'!$D:$D,MATCH(A32,'02_Employee_Master'!$A:$A,0)),"")</f>
        <v/>
      </c>
      <c r="L32" s="4">
        <f>IFERROR(INDEX('02_Employee_Master'!$J:$J,MATCH(A32,'02_Employee_Master'!$A:$A,0)),"")</f>
        <v/>
      </c>
    </row>
    <row r="33">
      <c r="A33" s="4" t="inlineStr">
        <is>
          <t>E032</t>
        </is>
      </c>
      <c r="B33" s="4" t="inlineStr">
        <is>
          <t>C029</t>
        </is>
      </c>
      <c r="C33" s="8" t="n">
        <v>110998</v>
      </c>
      <c r="D33" s="8" t="n">
        <v>99206</v>
      </c>
      <c r="E33" s="8" t="n">
        <v>99206</v>
      </c>
      <c r="F33" s="8" t="n">
        <v>8262</v>
      </c>
      <c r="G33" s="8" t="n">
        <v>0</v>
      </c>
      <c r="H33" s="8" t="n">
        <v>200</v>
      </c>
      <c r="I33" s="8" t="n">
        <v>3330</v>
      </c>
      <c r="J33" s="9" t="n">
        <v>0</v>
      </c>
      <c r="K33" s="4">
        <f>IFERROR(INDEX('02_Employee_Master'!$D:$D,MATCH(A33,'02_Employee_Master'!$A:$A,0)),"")</f>
        <v/>
      </c>
      <c r="L33" s="4">
        <f>IFERROR(INDEX('02_Employee_Master'!$J:$J,MATCH(A33,'02_Employee_Master'!$A:$A,0)),"")</f>
        <v/>
      </c>
    </row>
    <row r="34">
      <c r="A34" s="4" t="inlineStr">
        <is>
          <t>E033</t>
        </is>
      </c>
      <c r="B34" s="4" t="inlineStr">
        <is>
          <t>C023</t>
        </is>
      </c>
      <c r="C34" s="8" t="n">
        <v>122627</v>
      </c>
      <c r="D34" s="8" t="n">
        <v>109238</v>
      </c>
      <c r="E34" s="8" t="n">
        <v>109238</v>
      </c>
      <c r="F34" s="8" t="n">
        <v>9510</v>
      </c>
      <c r="G34" s="8" t="n">
        <v>0</v>
      </c>
      <c r="H34" s="8" t="n">
        <v>200</v>
      </c>
      <c r="I34" s="8" t="n">
        <v>3679</v>
      </c>
      <c r="J34" s="9" t="n">
        <v>0</v>
      </c>
      <c r="K34" s="4">
        <f>IFERROR(INDEX('02_Employee_Master'!$D:$D,MATCH(A34,'02_Employee_Master'!$A:$A,0)),"")</f>
        <v/>
      </c>
      <c r="L34" s="4">
        <f>IFERROR(INDEX('02_Employee_Master'!$J:$J,MATCH(A34,'02_Employee_Master'!$A:$A,0)),"")</f>
        <v/>
      </c>
    </row>
    <row r="35">
      <c r="A35" s="4" t="inlineStr">
        <is>
          <t>E034</t>
        </is>
      </c>
      <c r="B35" s="4" t="inlineStr">
        <is>
          <t>C031</t>
        </is>
      </c>
      <c r="C35" s="8" t="n">
        <v>55263</v>
      </c>
      <c r="D35" s="8" t="n">
        <v>50081</v>
      </c>
      <c r="E35" s="8" t="n">
        <v>50081</v>
      </c>
      <c r="F35" s="8" t="n">
        <v>3899</v>
      </c>
      <c r="G35" s="8" t="n">
        <v>0</v>
      </c>
      <c r="H35" s="8" t="n">
        <v>200</v>
      </c>
      <c r="I35" s="8" t="n">
        <v>0</v>
      </c>
      <c r="J35" s="9" t="n">
        <v>0</v>
      </c>
      <c r="K35" s="4">
        <f>IFERROR(INDEX('02_Employee_Master'!$D:$D,MATCH(A35,'02_Employee_Master'!$A:$A,0)),"")</f>
        <v/>
      </c>
      <c r="L35" s="4">
        <f>IFERROR(INDEX('02_Employee_Master'!$J:$J,MATCH(A35,'02_Employee_Master'!$A:$A,0)),"")</f>
        <v/>
      </c>
    </row>
    <row r="36">
      <c r="A36" s="4" t="inlineStr">
        <is>
          <t>E035</t>
        </is>
      </c>
      <c r="B36" s="4" t="inlineStr">
        <is>
          <t>C038</t>
        </is>
      </c>
      <c r="C36" s="8" t="n">
        <v>120156</v>
      </c>
      <c r="D36" s="8" t="n">
        <v>106806</v>
      </c>
      <c r="E36" s="8" t="n">
        <v>106806</v>
      </c>
      <c r="F36" s="8" t="n">
        <v>9545</v>
      </c>
      <c r="G36" s="8" t="n">
        <v>0</v>
      </c>
      <c r="H36" s="8" t="n">
        <v>200</v>
      </c>
      <c r="I36" s="8" t="n">
        <v>3605</v>
      </c>
      <c r="J36" s="9" t="n">
        <v>0</v>
      </c>
      <c r="K36" s="4">
        <f>IFERROR(INDEX('02_Employee_Master'!$D:$D,MATCH(A36,'02_Employee_Master'!$A:$A,0)),"")</f>
        <v/>
      </c>
      <c r="L36" s="4">
        <f>IFERROR(INDEX('02_Employee_Master'!$J:$J,MATCH(A36,'02_Employee_Master'!$A:$A,0)),"")</f>
        <v/>
      </c>
    </row>
    <row r="37">
      <c r="A37" s="4" t="inlineStr">
        <is>
          <t>E036</t>
        </is>
      </c>
      <c r="B37" s="4" t="inlineStr">
        <is>
          <t>C023</t>
        </is>
      </c>
      <c r="C37" s="8" t="n">
        <v>123616</v>
      </c>
      <c r="D37" s="8" t="n">
        <v>109395</v>
      </c>
      <c r="E37" s="8" t="n">
        <v>109395</v>
      </c>
      <c r="F37" s="8" t="n">
        <v>10313</v>
      </c>
      <c r="G37" s="8" t="n">
        <v>0</v>
      </c>
      <c r="H37" s="8" t="n">
        <v>200</v>
      </c>
      <c r="I37" s="8" t="n">
        <v>3708</v>
      </c>
      <c r="J37" s="9" t="n">
        <v>0</v>
      </c>
      <c r="K37" s="4">
        <f>IFERROR(INDEX('02_Employee_Master'!$D:$D,MATCH(A37,'02_Employee_Master'!$A:$A,0)),"")</f>
        <v/>
      </c>
      <c r="L37" s="4">
        <f>IFERROR(INDEX('02_Employee_Master'!$J:$J,MATCH(A37,'02_Employee_Master'!$A:$A,0)),"")</f>
        <v/>
      </c>
    </row>
    <row r="38">
      <c r="A38" s="4" t="inlineStr">
        <is>
          <t>E037</t>
        </is>
      </c>
      <c r="B38" s="4" t="inlineStr">
        <is>
          <t>C009</t>
        </is>
      </c>
      <c r="C38" s="8" t="n">
        <v>78974</v>
      </c>
      <c r="D38" s="8" t="n">
        <v>72901</v>
      </c>
      <c r="E38" s="8" t="n">
        <v>67906</v>
      </c>
      <c r="F38" s="8" t="n">
        <v>5873</v>
      </c>
      <c r="G38" s="8" t="n">
        <v>0</v>
      </c>
      <c r="H38" s="8" t="n">
        <v>200</v>
      </c>
      <c r="I38" s="8" t="n">
        <v>0</v>
      </c>
      <c r="J38" s="9" t="n">
        <v>-4995</v>
      </c>
      <c r="K38" s="4">
        <f>IFERROR(INDEX('02_Employee_Master'!$D:$D,MATCH(A38,'02_Employee_Master'!$A:$A,0)),"")</f>
        <v/>
      </c>
      <c r="L38" s="4">
        <f>IFERROR(INDEX('02_Employee_Master'!$J:$J,MATCH(A38,'02_Employee_Master'!$A:$A,0)),"")</f>
        <v/>
      </c>
    </row>
    <row r="39">
      <c r="A39" s="4" t="inlineStr">
        <is>
          <t>E038</t>
        </is>
      </c>
      <c r="B39" s="4" t="inlineStr">
        <is>
          <t>C011</t>
        </is>
      </c>
      <c r="C39" s="8" t="n">
        <v>40959</v>
      </c>
      <c r="D39" s="8" t="n">
        <v>38102</v>
      </c>
      <c r="E39" s="8" t="n">
        <v>38102</v>
      </c>
      <c r="F39" s="8" t="n">
        <v>2657</v>
      </c>
      <c r="G39" s="8" t="n">
        <v>0</v>
      </c>
      <c r="H39" s="8" t="n">
        <v>200</v>
      </c>
      <c r="I39" s="8" t="n">
        <v>0</v>
      </c>
      <c r="J39" s="9" t="n">
        <v>0</v>
      </c>
      <c r="K39" s="4">
        <f>IFERROR(INDEX('02_Employee_Master'!$D:$D,MATCH(A39,'02_Employee_Master'!$A:$A,0)),"")</f>
        <v/>
      </c>
      <c r="L39" s="4">
        <f>IFERROR(INDEX('02_Employee_Master'!$J:$J,MATCH(A39,'02_Employee_Master'!$A:$A,0)),"")</f>
        <v/>
      </c>
    </row>
    <row r="40">
      <c r="A40" s="4" t="inlineStr">
        <is>
          <t>E039</t>
        </is>
      </c>
      <c r="B40" s="4" t="inlineStr">
        <is>
          <t>C009</t>
        </is>
      </c>
      <c r="C40" s="8" t="n">
        <v>122525</v>
      </c>
      <c r="D40" s="8" t="n">
        <v>109458</v>
      </c>
      <c r="E40" s="8" t="n">
        <v>108047</v>
      </c>
      <c r="F40" s="8" t="n">
        <v>9191</v>
      </c>
      <c r="G40" s="8" t="n">
        <v>0</v>
      </c>
      <c r="H40" s="8" t="n">
        <v>200</v>
      </c>
      <c r="I40" s="8" t="n">
        <v>3676</v>
      </c>
      <c r="J40" s="9" t="n">
        <v>-1411</v>
      </c>
      <c r="K40" s="4">
        <f>IFERROR(INDEX('02_Employee_Master'!$D:$D,MATCH(A40,'02_Employee_Master'!$A:$A,0)),"")</f>
        <v/>
      </c>
      <c r="L40" s="4">
        <f>IFERROR(INDEX('02_Employee_Master'!$J:$J,MATCH(A40,'02_Employee_Master'!$A:$A,0)),"")</f>
        <v/>
      </c>
    </row>
    <row r="41">
      <c r="A41" s="4" t="inlineStr">
        <is>
          <t>E040</t>
        </is>
      </c>
      <c r="B41" s="4" t="inlineStr">
        <is>
          <t>C048</t>
        </is>
      </c>
      <c r="C41" s="8" t="n">
        <v>35547</v>
      </c>
      <c r="D41" s="8" t="n">
        <v>32939</v>
      </c>
      <c r="E41" s="8" t="n">
        <v>32918</v>
      </c>
      <c r="F41" s="8" t="n">
        <v>2408</v>
      </c>
      <c r="G41" s="8" t="n">
        <v>0</v>
      </c>
      <c r="H41" s="8" t="n">
        <v>200</v>
      </c>
      <c r="I41" s="8" t="n">
        <v>0</v>
      </c>
      <c r="J41" s="9" t="n">
        <v>-21</v>
      </c>
      <c r="K41" s="4">
        <f>IFERROR(INDEX('02_Employee_Master'!$D:$D,MATCH(A41,'02_Employee_Master'!$A:$A,0)),"")</f>
        <v/>
      </c>
      <c r="L41" s="4">
        <f>IFERROR(INDEX('02_Employee_Master'!$J:$J,MATCH(A41,'02_Employee_Master'!$A:$A,0)),"")</f>
        <v/>
      </c>
    </row>
    <row r="42">
      <c r="A42" s="4" t="inlineStr">
        <is>
          <t>E041</t>
        </is>
      </c>
      <c r="B42" s="4" t="inlineStr">
        <is>
          <t>C027</t>
        </is>
      </c>
      <c r="C42" s="8" t="n">
        <v>93207</v>
      </c>
      <c r="D42" s="8" t="n">
        <v>86229</v>
      </c>
      <c r="E42" s="8" t="n">
        <v>86229</v>
      </c>
      <c r="F42" s="8" t="n">
        <v>6778</v>
      </c>
      <c r="G42" s="8" t="n">
        <v>0</v>
      </c>
      <c r="H42" s="8" t="n">
        <v>200</v>
      </c>
      <c r="I42" s="8" t="n">
        <v>0</v>
      </c>
      <c r="J42" s="9" t="n">
        <v>0</v>
      </c>
      <c r="K42" s="4">
        <f>IFERROR(INDEX('02_Employee_Master'!$D:$D,MATCH(A42,'02_Employee_Master'!$A:$A,0)),"")</f>
        <v/>
      </c>
      <c r="L42" s="4">
        <f>IFERROR(INDEX('02_Employee_Master'!$J:$J,MATCH(A42,'02_Employee_Master'!$A:$A,0)),"")</f>
        <v/>
      </c>
    </row>
    <row r="43">
      <c r="A43" s="4" t="inlineStr">
        <is>
          <t>E042</t>
        </is>
      </c>
      <c r="B43" s="4" t="inlineStr">
        <is>
          <t>C006</t>
        </is>
      </c>
      <c r="C43" s="8" t="n">
        <v>52605</v>
      </c>
      <c r="D43" s="8" t="n">
        <v>48632</v>
      </c>
      <c r="E43" s="8" t="n">
        <v>48545</v>
      </c>
      <c r="F43" s="8" t="n">
        <v>3773</v>
      </c>
      <c r="G43" s="8" t="n">
        <v>0</v>
      </c>
      <c r="H43" s="8" t="n">
        <v>200</v>
      </c>
      <c r="I43" s="8" t="n">
        <v>0</v>
      </c>
      <c r="J43" s="9" t="n">
        <v>-87</v>
      </c>
      <c r="K43" s="4">
        <f>IFERROR(INDEX('02_Employee_Master'!$D:$D,MATCH(A43,'02_Employee_Master'!$A:$A,0)),"")</f>
        <v/>
      </c>
      <c r="L43" s="4">
        <f>IFERROR(INDEX('02_Employee_Master'!$J:$J,MATCH(A43,'02_Employee_Master'!$A:$A,0)),"")</f>
        <v/>
      </c>
    </row>
    <row r="44">
      <c r="A44" s="4" t="inlineStr">
        <is>
          <t>E043</t>
        </is>
      </c>
      <c r="B44" s="4" t="inlineStr">
        <is>
          <t>C029</t>
        </is>
      </c>
      <c r="C44" s="8" t="n">
        <v>95303</v>
      </c>
      <c r="D44" s="8" t="n">
        <v>87421</v>
      </c>
      <c r="E44" s="8" t="n">
        <v>87421</v>
      </c>
      <c r="F44" s="8" t="n">
        <v>7682</v>
      </c>
      <c r="G44" s="8" t="n">
        <v>0</v>
      </c>
      <c r="H44" s="8" t="n">
        <v>200</v>
      </c>
      <c r="I44" s="8" t="n">
        <v>0</v>
      </c>
      <c r="J44" s="9" t="n">
        <v>0</v>
      </c>
      <c r="K44" s="4">
        <f>IFERROR(INDEX('02_Employee_Master'!$D:$D,MATCH(A44,'02_Employee_Master'!$A:$A,0)),"")</f>
        <v/>
      </c>
      <c r="L44" s="4">
        <f>IFERROR(INDEX('02_Employee_Master'!$J:$J,MATCH(A44,'02_Employee_Master'!$A:$A,0)),"")</f>
        <v/>
      </c>
    </row>
    <row r="45">
      <c r="A45" s="4" t="inlineStr">
        <is>
          <t>E044</t>
        </is>
      </c>
      <c r="B45" s="4" t="inlineStr">
        <is>
          <t>C048</t>
        </is>
      </c>
      <c r="C45" s="8" t="n">
        <v>92338</v>
      </c>
      <c r="D45" s="8" t="n">
        <v>85240</v>
      </c>
      <c r="E45" s="8" t="n">
        <v>85184</v>
      </c>
      <c r="F45" s="8" t="n">
        <v>6898</v>
      </c>
      <c r="G45" s="8" t="n">
        <v>0</v>
      </c>
      <c r="H45" s="8" t="n">
        <v>200</v>
      </c>
      <c r="I45" s="8" t="n">
        <v>0</v>
      </c>
      <c r="J45" s="9" t="n">
        <v>-56</v>
      </c>
      <c r="K45" s="4">
        <f>IFERROR(INDEX('02_Employee_Master'!$D:$D,MATCH(A45,'02_Employee_Master'!$A:$A,0)),"")</f>
        <v/>
      </c>
      <c r="L45" s="4">
        <f>IFERROR(INDEX('02_Employee_Master'!$J:$J,MATCH(A45,'02_Employee_Master'!$A:$A,0)),"")</f>
        <v/>
      </c>
    </row>
    <row r="46">
      <c r="A46" s="4" t="inlineStr">
        <is>
          <t>E045</t>
        </is>
      </c>
      <c r="B46" s="4" t="inlineStr">
        <is>
          <t>C037</t>
        </is>
      </c>
      <c r="C46" s="8" t="n">
        <v>116408</v>
      </c>
      <c r="D46" s="8" t="n">
        <v>103477</v>
      </c>
      <c r="E46" s="8" t="n">
        <v>103477</v>
      </c>
      <c r="F46" s="8" t="n">
        <v>9239</v>
      </c>
      <c r="G46" s="8" t="n">
        <v>0</v>
      </c>
      <c r="H46" s="8" t="n">
        <v>200</v>
      </c>
      <c r="I46" s="8" t="n">
        <v>3492</v>
      </c>
      <c r="J46" s="9" t="n">
        <v>0</v>
      </c>
      <c r="K46" s="4">
        <f>IFERROR(INDEX('02_Employee_Master'!$D:$D,MATCH(A46,'02_Employee_Master'!$A:$A,0)),"")</f>
        <v/>
      </c>
      <c r="L46" s="4">
        <f>IFERROR(INDEX('02_Employee_Master'!$J:$J,MATCH(A46,'02_Employee_Master'!$A:$A,0)),"")</f>
        <v/>
      </c>
    </row>
    <row r="47">
      <c r="A47" s="4" t="inlineStr">
        <is>
          <t>E046</t>
        </is>
      </c>
      <c r="B47" s="4" t="inlineStr">
        <is>
          <t>C048</t>
        </is>
      </c>
      <c r="C47" s="8" t="n">
        <v>115052</v>
      </c>
      <c r="D47" s="8" t="n">
        <v>100204</v>
      </c>
      <c r="E47" s="8" t="n">
        <v>100130</v>
      </c>
      <c r="F47" s="8" t="n">
        <v>8762</v>
      </c>
      <c r="G47" s="8" t="n">
        <v>0</v>
      </c>
      <c r="H47" s="8" t="n">
        <v>200</v>
      </c>
      <c r="I47" s="8" t="n">
        <v>3452</v>
      </c>
      <c r="J47" s="9" t="n">
        <v>-74</v>
      </c>
      <c r="K47" s="4">
        <f>IFERROR(INDEX('02_Employee_Master'!$D:$D,MATCH(A47,'02_Employee_Master'!$A:$A,0)),"")</f>
        <v/>
      </c>
      <c r="L47" s="4">
        <f>IFERROR(INDEX('02_Employee_Master'!$J:$J,MATCH(A47,'02_Employee_Master'!$A:$A,0)),"")</f>
        <v/>
      </c>
    </row>
    <row r="48">
      <c r="A48" s="4" t="inlineStr">
        <is>
          <t>E047</t>
        </is>
      </c>
      <c r="B48" s="4" t="inlineStr">
        <is>
          <t>C039</t>
        </is>
      </c>
      <c r="C48" s="8" t="n">
        <v>55220</v>
      </c>
      <c r="D48" s="8" t="n">
        <v>51293</v>
      </c>
      <c r="E48" s="8" t="n">
        <v>50666</v>
      </c>
      <c r="F48" s="8" t="n">
        <v>3727</v>
      </c>
      <c r="G48" s="8" t="n">
        <v>0</v>
      </c>
      <c r="H48" s="8" t="n">
        <v>200</v>
      </c>
      <c r="I48" s="8" t="n">
        <v>0</v>
      </c>
      <c r="J48" s="9" t="n">
        <v>-627</v>
      </c>
      <c r="K48" s="4">
        <f>IFERROR(INDEX('02_Employee_Master'!$D:$D,MATCH(A48,'02_Employee_Master'!$A:$A,0)),"")</f>
        <v/>
      </c>
      <c r="L48" s="4">
        <f>IFERROR(INDEX('02_Employee_Master'!$J:$J,MATCH(A48,'02_Employee_Master'!$A:$A,0)),"")</f>
        <v/>
      </c>
    </row>
    <row r="49">
      <c r="A49" s="4" t="inlineStr">
        <is>
          <t>E048</t>
        </is>
      </c>
      <c r="B49" s="4" t="inlineStr">
        <is>
          <t>C033</t>
        </is>
      </c>
      <c r="C49" s="8" t="n">
        <v>129327</v>
      </c>
      <c r="D49" s="8" t="n">
        <v>115083</v>
      </c>
      <c r="E49" s="8" t="n">
        <v>115083</v>
      </c>
      <c r="F49" s="8" t="n">
        <v>10164</v>
      </c>
      <c r="G49" s="8" t="n">
        <v>0</v>
      </c>
      <c r="H49" s="8" t="n">
        <v>200</v>
      </c>
      <c r="I49" s="8" t="n">
        <v>3880</v>
      </c>
      <c r="J49" s="9" t="n">
        <v>0</v>
      </c>
      <c r="K49" s="4">
        <f>IFERROR(INDEX('02_Employee_Master'!$D:$D,MATCH(A49,'02_Employee_Master'!$A:$A,0)),"")</f>
        <v/>
      </c>
      <c r="L49" s="4">
        <f>IFERROR(INDEX('02_Employee_Master'!$J:$J,MATCH(A49,'02_Employee_Master'!$A:$A,0)),"")</f>
        <v/>
      </c>
    </row>
    <row r="50">
      <c r="A50" s="4" t="inlineStr">
        <is>
          <t>E049</t>
        </is>
      </c>
      <c r="B50" s="4" t="inlineStr">
        <is>
          <t>C030</t>
        </is>
      </c>
      <c r="C50" s="8" t="n">
        <v>43224</v>
      </c>
      <c r="D50" s="8" t="n">
        <v>38776</v>
      </c>
      <c r="E50" s="8" t="n">
        <v>38776</v>
      </c>
      <c r="F50" s="8" t="n">
        <v>2731</v>
      </c>
      <c r="G50" s="8" t="n">
        <v>0</v>
      </c>
      <c r="H50" s="8" t="n">
        <v>200</v>
      </c>
      <c r="I50" s="8" t="n">
        <v>0</v>
      </c>
      <c r="J50" s="9" t="n">
        <v>0</v>
      </c>
      <c r="K50" s="4">
        <f>IFERROR(INDEX('02_Employee_Master'!$D:$D,MATCH(A50,'02_Employee_Master'!$A:$A,0)),"")</f>
        <v/>
      </c>
      <c r="L50" s="4">
        <f>IFERROR(INDEX('02_Employee_Master'!$J:$J,MATCH(A50,'02_Employee_Master'!$A:$A,0)),"")</f>
        <v/>
      </c>
    </row>
    <row r="51">
      <c r="A51" s="4" t="inlineStr">
        <is>
          <t>E050</t>
        </is>
      </c>
      <c r="B51" s="4" t="inlineStr">
        <is>
          <t>C005</t>
        </is>
      </c>
      <c r="C51" s="8" t="n">
        <v>82497</v>
      </c>
      <c r="D51" s="8" t="n">
        <v>72516</v>
      </c>
      <c r="E51" s="8" t="n">
        <v>66228</v>
      </c>
      <c r="F51" s="8" t="n">
        <v>6288</v>
      </c>
      <c r="G51" s="8" t="n">
        <v>0</v>
      </c>
      <c r="H51" s="8" t="n">
        <v>200</v>
      </c>
      <c r="I51" s="8" t="n">
        <v>0</v>
      </c>
      <c r="J51" s="9" t="n">
        <v>-6288</v>
      </c>
      <c r="K51" s="4">
        <f>IFERROR(INDEX('02_Employee_Master'!$D:$D,MATCH(A51,'02_Employee_Master'!$A:$A,0)),"")</f>
        <v/>
      </c>
      <c r="L51" s="4">
        <f>IFERROR(INDEX('02_Employee_Master'!$J:$J,MATCH(A51,'02_Employee_Master'!$A:$A,0)),"")</f>
        <v/>
      </c>
    </row>
    <row r="52">
      <c r="A52" s="4" t="inlineStr">
        <is>
          <t>E051</t>
        </is>
      </c>
      <c r="B52" s="4" t="inlineStr">
        <is>
          <t>C002</t>
        </is>
      </c>
      <c r="C52" s="8" t="n">
        <v>90002</v>
      </c>
      <c r="D52" s="8" t="n">
        <v>82805</v>
      </c>
      <c r="E52" s="8" t="n">
        <v>82805</v>
      </c>
      <c r="F52" s="8" t="n">
        <v>6997</v>
      </c>
      <c r="G52" s="8" t="n">
        <v>0</v>
      </c>
      <c r="H52" s="8" t="n">
        <v>200</v>
      </c>
      <c r="I52" s="8" t="n">
        <v>0</v>
      </c>
      <c r="J52" s="9" t="n">
        <v>0</v>
      </c>
      <c r="K52" s="4">
        <f>IFERROR(INDEX('02_Employee_Master'!$D:$D,MATCH(A52,'02_Employee_Master'!$A:$A,0)),"")</f>
        <v/>
      </c>
      <c r="L52" s="4">
        <f>IFERROR(INDEX('02_Employee_Master'!$J:$J,MATCH(A52,'02_Employee_Master'!$A:$A,0)),"")</f>
        <v/>
      </c>
    </row>
    <row r="53">
      <c r="A53" s="4" t="inlineStr">
        <is>
          <t>E052</t>
        </is>
      </c>
      <c r="B53" s="4" t="inlineStr">
        <is>
          <t>C017</t>
        </is>
      </c>
      <c r="C53" s="8" t="n">
        <v>64351</v>
      </c>
      <c r="D53" s="8" t="n">
        <v>57274</v>
      </c>
      <c r="E53" s="8" t="n">
        <v>57274</v>
      </c>
      <c r="F53" s="8" t="n">
        <v>4421</v>
      </c>
      <c r="G53" s="8" t="n">
        <v>0</v>
      </c>
      <c r="H53" s="8" t="n">
        <v>200</v>
      </c>
      <c r="I53" s="8" t="n">
        <v>0</v>
      </c>
      <c r="J53" s="9" t="n">
        <v>0</v>
      </c>
      <c r="K53" s="4">
        <f>IFERROR(INDEX('02_Employee_Master'!$D:$D,MATCH(A53,'02_Employee_Master'!$A:$A,0)),"")</f>
        <v/>
      </c>
      <c r="L53" s="4">
        <f>IFERROR(INDEX('02_Employee_Master'!$J:$J,MATCH(A53,'02_Employee_Master'!$A:$A,0)),"")</f>
        <v/>
      </c>
    </row>
    <row r="54">
      <c r="A54" s="4" t="inlineStr">
        <is>
          <t>E053</t>
        </is>
      </c>
      <c r="B54" s="4" t="inlineStr">
        <is>
          <t>C015</t>
        </is>
      </c>
      <c r="C54" s="8" t="n">
        <v>83419</v>
      </c>
      <c r="D54" s="8" t="n">
        <v>76627</v>
      </c>
      <c r="E54" s="8" t="n">
        <v>76627</v>
      </c>
      <c r="F54" s="8" t="n">
        <v>6592</v>
      </c>
      <c r="G54" s="8" t="n">
        <v>0</v>
      </c>
      <c r="H54" s="8" t="n">
        <v>200</v>
      </c>
      <c r="I54" s="8" t="n">
        <v>0</v>
      </c>
      <c r="J54" s="9" t="n">
        <v>0</v>
      </c>
      <c r="K54" s="4">
        <f>IFERROR(INDEX('02_Employee_Master'!$D:$D,MATCH(A54,'02_Employee_Master'!$A:$A,0)),"")</f>
        <v/>
      </c>
      <c r="L54" s="4">
        <f>IFERROR(INDEX('02_Employee_Master'!$J:$J,MATCH(A54,'02_Employee_Master'!$A:$A,0)),"")</f>
        <v/>
      </c>
    </row>
    <row r="55">
      <c r="A55" s="4" t="inlineStr">
        <is>
          <t>E054</t>
        </is>
      </c>
      <c r="B55" s="4" t="inlineStr">
        <is>
          <t>C031</t>
        </is>
      </c>
      <c r="C55" s="8" t="n">
        <v>92230</v>
      </c>
      <c r="D55" s="8" t="n">
        <v>84681</v>
      </c>
      <c r="E55" s="8" t="n">
        <v>84681</v>
      </c>
      <c r="F55" s="8" t="n">
        <v>7349</v>
      </c>
      <c r="G55" s="8" t="n">
        <v>0</v>
      </c>
      <c r="H55" s="8" t="n">
        <v>200</v>
      </c>
      <c r="I55" s="8" t="n">
        <v>0</v>
      </c>
      <c r="J55" s="9" t="n">
        <v>0</v>
      </c>
      <c r="K55" s="4">
        <f>IFERROR(INDEX('02_Employee_Master'!$D:$D,MATCH(A55,'02_Employee_Master'!$A:$A,0)),"")</f>
        <v/>
      </c>
      <c r="L55" s="4">
        <f>IFERROR(INDEX('02_Employee_Master'!$J:$J,MATCH(A55,'02_Employee_Master'!$A:$A,0)),"")</f>
        <v/>
      </c>
    </row>
    <row r="56">
      <c r="A56" s="4" t="inlineStr">
        <is>
          <t>E055</t>
        </is>
      </c>
      <c r="B56" s="4" t="inlineStr">
        <is>
          <t>C005</t>
        </is>
      </c>
      <c r="C56" s="8" t="n">
        <v>130594</v>
      </c>
      <c r="D56" s="8" t="n">
        <v>116751</v>
      </c>
      <c r="E56" s="8" t="n">
        <v>107026</v>
      </c>
      <c r="F56" s="8" t="n">
        <v>9725</v>
      </c>
      <c r="G56" s="8" t="n">
        <v>0</v>
      </c>
      <c r="H56" s="8" t="n">
        <v>200</v>
      </c>
      <c r="I56" s="8" t="n">
        <v>3918</v>
      </c>
      <c r="J56" s="9" t="n">
        <v>-9725</v>
      </c>
      <c r="K56" s="4">
        <f>IFERROR(INDEX('02_Employee_Master'!$D:$D,MATCH(A56,'02_Employee_Master'!$A:$A,0)),"")</f>
        <v/>
      </c>
      <c r="L56" s="4">
        <f>IFERROR(INDEX('02_Employee_Master'!$J:$J,MATCH(A56,'02_Employee_Master'!$A:$A,0)),"")</f>
        <v/>
      </c>
    </row>
    <row r="57">
      <c r="A57" s="4" t="inlineStr">
        <is>
          <t>E056</t>
        </is>
      </c>
      <c r="B57" s="4" t="inlineStr">
        <is>
          <t>C031</t>
        </is>
      </c>
      <c r="C57" s="8" t="n">
        <v>119751</v>
      </c>
      <c r="D57" s="8" t="n">
        <v>106494</v>
      </c>
      <c r="E57" s="8" t="n">
        <v>106494</v>
      </c>
      <c r="F57" s="8" t="n">
        <v>9464</v>
      </c>
      <c r="G57" s="8" t="n">
        <v>0</v>
      </c>
      <c r="H57" s="8" t="n">
        <v>200</v>
      </c>
      <c r="I57" s="8" t="n">
        <v>3593</v>
      </c>
      <c r="J57" s="9" t="n">
        <v>0</v>
      </c>
      <c r="K57" s="4">
        <f>IFERROR(INDEX('02_Employee_Master'!$D:$D,MATCH(A57,'02_Employee_Master'!$A:$A,0)),"")</f>
        <v/>
      </c>
      <c r="L57" s="4">
        <f>IFERROR(INDEX('02_Employee_Master'!$J:$J,MATCH(A57,'02_Employee_Master'!$A:$A,0)),"")</f>
        <v/>
      </c>
    </row>
    <row r="58">
      <c r="A58" s="4" t="inlineStr">
        <is>
          <t>E057</t>
        </is>
      </c>
      <c r="B58" s="4" t="inlineStr">
        <is>
          <t>C025</t>
        </is>
      </c>
      <c r="C58" s="8" t="n">
        <v>127928</v>
      </c>
      <c r="D58" s="8" t="n">
        <v>113675</v>
      </c>
      <c r="E58" s="8" t="n">
        <v>114545</v>
      </c>
      <c r="F58" s="8" t="n">
        <v>10215</v>
      </c>
      <c r="G58" s="8" t="n">
        <v>0</v>
      </c>
      <c r="H58" s="8" t="n">
        <v>200</v>
      </c>
      <c r="I58" s="8" t="n">
        <v>3838</v>
      </c>
      <c r="J58" s="9" t="n">
        <v>870</v>
      </c>
      <c r="K58" s="4">
        <f>IFERROR(INDEX('02_Employee_Master'!$D:$D,MATCH(A58,'02_Employee_Master'!$A:$A,0)),"")</f>
        <v/>
      </c>
      <c r="L58" s="4">
        <f>IFERROR(INDEX('02_Employee_Master'!$J:$J,MATCH(A58,'02_Employee_Master'!$A:$A,0)),"")</f>
        <v/>
      </c>
    </row>
    <row r="59">
      <c r="A59" s="4" t="inlineStr">
        <is>
          <t>E058</t>
        </is>
      </c>
      <c r="B59" s="4" t="inlineStr">
        <is>
          <t>C014</t>
        </is>
      </c>
      <c r="C59" s="8" t="n">
        <v>101922</v>
      </c>
      <c r="D59" s="8" t="n">
        <v>88428</v>
      </c>
      <c r="E59" s="8" t="n">
        <v>88428</v>
      </c>
      <c r="F59" s="8" t="n">
        <v>8011</v>
      </c>
      <c r="G59" s="8" t="n">
        <v>0</v>
      </c>
      <c r="H59" s="8" t="n">
        <v>200</v>
      </c>
      <c r="I59" s="8" t="n">
        <v>3058</v>
      </c>
      <c r="J59" s="9" t="n">
        <v>0</v>
      </c>
      <c r="K59" s="4">
        <f>IFERROR(INDEX('02_Employee_Master'!$D:$D,MATCH(A59,'02_Employee_Master'!$A:$A,0)),"")</f>
        <v/>
      </c>
      <c r="L59" s="4">
        <f>IFERROR(INDEX('02_Employee_Master'!$J:$J,MATCH(A59,'02_Employee_Master'!$A:$A,0)),"")</f>
        <v/>
      </c>
    </row>
    <row r="60">
      <c r="A60" s="4" t="inlineStr">
        <is>
          <t>E059</t>
        </is>
      </c>
      <c r="B60" s="4" t="inlineStr">
        <is>
          <t>C006</t>
        </is>
      </c>
      <c r="C60" s="8" t="n">
        <v>44201</v>
      </c>
      <c r="D60" s="8" t="n">
        <v>40530</v>
      </c>
      <c r="E60" s="8" t="n">
        <v>40488</v>
      </c>
      <c r="F60" s="8" t="n">
        <v>3471</v>
      </c>
      <c r="G60" s="8" t="n">
        <v>0</v>
      </c>
      <c r="H60" s="8" t="n">
        <v>200</v>
      </c>
      <c r="I60" s="8" t="n">
        <v>0</v>
      </c>
      <c r="J60" s="9" t="n">
        <v>-42</v>
      </c>
      <c r="K60" s="4">
        <f>IFERROR(INDEX('02_Employee_Master'!$D:$D,MATCH(A60,'02_Employee_Master'!$A:$A,0)),"")</f>
        <v/>
      </c>
      <c r="L60" s="4">
        <f>IFERROR(INDEX('02_Employee_Master'!$J:$J,MATCH(A60,'02_Employee_Master'!$A:$A,0)),"")</f>
        <v/>
      </c>
    </row>
    <row r="61">
      <c r="A61" s="4" t="inlineStr">
        <is>
          <t>E060</t>
        </is>
      </c>
      <c r="B61" s="4" t="inlineStr">
        <is>
          <t>C030</t>
        </is>
      </c>
      <c r="C61" s="8" t="n">
        <v>61833</v>
      </c>
      <c r="D61" s="8" t="n">
        <v>56553</v>
      </c>
      <c r="E61" s="8" t="n">
        <v>56553</v>
      </c>
      <c r="F61" s="8" t="n">
        <v>5080</v>
      </c>
      <c r="G61" s="8" t="n">
        <v>0</v>
      </c>
      <c r="H61" s="8" t="n">
        <v>200</v>
      </c>
      <c r="I61" s="8" t="n">
        <v>0</v>
      </c>
      <c r="J61" s="9" t="n">
        <v>0</v>
      </c>
      <c r="K61" s="4">
        <f>IFERROR(INDEX('02_Employee_Master'!$D:$D,MATCH(A61,'02_Employee_Master'!$A:$A,0)),"")</f>
        <v/>
      </c>
      <c r="L61" s="4">
        <f>IFERROR(INDEX('02_Employee_Master'!$J:$J,MATCH(A61,'02_Employee_Master'!$A:$A,0)),"")</f>
        <v/>
      </c>
    </row>
    <row r="62">
      <c r="A62" s="4" t="inlineStr">
        <is>
          <t>E061</t>
        </is>
      </c>
      <c r="B62" s="4" t="inlineStr">
        <is>
          <t>C022</t>
        </is>
      </c>
      <c r="C62" s="8" t="n">
        <v>121336</v>
      </c>
      <c r="D62" s="8" t="n">
        <v>104713</v>
      </c>
      <c r="E62" s="8" t="n">
        <v>104713</v>
      </c>
      <c r="F62" s="8" t="n">
        <v>10004</v>
      </c>
      <c r="G62" s="8" t="n">
        <v>0</v>
      </c>
      <c r="H62" s="8" t="n">
        <v>200</v>
      </c>
      <c r="I62" s="8" t="n">
        <v>3640</v>
      </c>
      <c r="J62" s="9" t="n">
        <v>0</v>
      </c>
      <c r="K62" s="4">
        <f>IFERROR(INDEX('02_Employee_Master'!$D:$D,MATCH(A62,'02_Employee_Master'!$A:$A,0)),"")</f>
        <v/>
      </c>
      <c r="L62" s="4">
        <f>IFERROR(INDEX('02_Employee_Master'!$J:$J,MATCH(A62,'02_Employee_Master'!$A:$A,0)),"")</f>
        <v/>
      </c>
    </row>
    <row r="63">
      <c r="A63" s="4" t="inlineStr">
        <is>
          <t>E062</t>
        </is>
      </c>
      <c r="B63" s="4" t="inlineStr">
        <is>
          <t>C041</t>
        </is>
      </c>
      <c r="C63" s="8" t="n">
        <v>65194</v>
      </c>
      <c r="D63" s="8" t="n">
        <v>60398</v>
      </c>
      <c r="E63" s="8" t="n">
        <v>60398</v>
      </c>
      <c r="F63" s="8" t="n">
        <v>4596</v>
      </c>
      <c r="G63" s="8" t="n">
        <v>0</v>
      </c>
      <c r="H63" s="8" t="n">
        <v>200</v>
      </c>
      <c r="I63" s="8" t="n">
        <v>0</v>
      </c>
      <c r="J63" s="9" t="n">
        <v>0</v>
      </c>
      <c r="K63" s="4">
        <f>IFERROR(INDEX('02_Employee_Master'!$D:$D,MATCH(A63,'02_Employee_Master'!$A:$A,0)),"")</f>
        <v/>
      </c>
      <c r="L63" s="4">
        <f>IFERROR(INDEX('02_Employee_Master'!$J:$J,MATCH(A63,'02_Employee_Master'!$A:$A,0)),"")</f>
        <v/>
      </c>
    </row>
    <row r="64">
      <c r="A64" s="4" t="inlineStr">
        <is>
          <t>E063</t>
        </is>
      </c>
      <c r="B64" s="4" t="inlineStr">
        <is>
          <t>C035</t>
        </is>
      </c>
      <c r="C64" s="8" t="n">
        <v>129781</v>
      </c>
      <c r="D64" s="8" t="n">
        <v>115582</v>
      </c>
      <c r="E64" s="8" t="n">
        <v>115582</v>
      </c>
      <c r="F64" s="8" t="n">
        <v>10106</v>
      </c>
      <c r="G64" s="8" t="n">
        <v>0</v>
      </c>
      <c r="H64" s="8" t="n">
        <v>200</v>
      </c>
      <c r="I64" s="8" t="n">
        <v>3893</v>
      </c>
      <c r="J64" s="9" t="n">
        <v>0</v>
      </c>
      <c r="K64" s="4">
        <f>IFERROR(INDEX('02_Employee_Master'!$D:$D,MATCH(A64,'02_Employee_Master'!$A:$A,0)),"")</f>
        <v/>
      </c>
      <c r="L64" s="4">
        <f>IFERROR(INDEX('02_Employee_Master'!$J:$J,MATCH(A64,'02_Employee_Master'!$A:$A,0)),"")</f>
        <v/>
      </c>
    </row>
    <row r="65">
      <c r="A65" s="4" t="inlineStr">
        <is>
          <t>E064</t>
        </is>
      </c>
      <c r="B65" s="4" t="inlineStr">
        <is>
          <t>C014</t>
        </is>
      </c>
      <c r="C65" s="8" t="n">
        <v>36782</v>
      </c>
      <c r="D65" s="8" t="n">
        <v>33755</v>
      </c>
      <c r="E65" s="8" t="n">
        <v>33755</v>
      </c>
      <c r="F65" s="8" t="n">
        <v>2827</v>
      </c>
      <c r="G65" s="8" t="n">
        <v>0</v>
      </c>
      <c r="H65" s="8" t="n">
        <v>200</v>
      </c>
      <c r="I65" s="8" t="n">
        <v>0</v>
      </c>
      <c r="J65" s="9" t="n">
        <v>0</v>
      </c>
      <c r="K65" s="4">
        <f>IFERROR(INDEX('02_Employee_Master'!$D:$D,MATCH(A65,'02_Employee_Master'!$A:$A,0)),"")</f>
        <v/>
      </c>
      <c r="L65" s="4">
        <f>IFERROR(INDEX('02_Employee_Master'!$J:$J,MATCH(A65,'02_Employee_Master'!$A:$A,0)),"")</f>
        <v/>
      </c>
    </row>
    <row r="66">
      <c r="A66" s="4" t="inlineStr">
        <is>
          <t>E065</t>
        </is>
      </c>
      <c r="B66" s="4" t="inlineStr">
        <is>
          <t>C012</t>
        </is>
      </c>
      <c r="C66" s="8" t="n">
        <v>70511</v>
      </c>
      <c r="D66" s="8" t="n">
        <v>65059</v>
      </c>
      <c r="E66" s="8" t="n">
        <v>65059</v>
      </c>
      <c r="F66" s="8" t="n">
        <v>5252</v>
      </c>
      <c r="G66" s="8" t="n">
        <v>0</v>
      </c>
      <c r="H66" s="8" t="n">
        <v>200</v>
      </c>
      <c r="I66" s="8" t="n">
        <v>0</v>
      </c>
      <c r="J66" s="9" t="n">
        <v>0</v>
      </c>
      <c r="K66" s="4">
        <f>IFERROR(INDEX('02_Employee_Master'!$D:$D,MATCH(A66,'02_Employee_Master'!$A:$A,0)),"")</f>
        <v/>
      </c>
      <c r="L66" s="4">
        <f>IFERROR(INDEX('02_Employee_Master'!$J:$J,MATCH(A66,'02_Employee_Master'!$A:$A,0)),"")</f>
        <v/>
      </c>
    </row>
    <row r="67">
      <c r="A67" s="4" t="inlineStr">
        <is>
          <t>E066</t>
        </is>
      </c>
      <c r="B67" s="4" t="inlineStr">
        <is>
          <t>C021</t>
        </is>
      </c>
      <c r="C67" s="8" t="n">
        <v>102489</v>
      </c>
      <c r="D67" s="8" t="n">
        <v>91473</v>
      </c>
      <c r="E67" s="8" t="n">
        <v>91473</v>
      </c>
      <c r="F67" s="8" t="n">
        <v>7741</v>
      </c>
      <c r="G67" s="8" t="n">
        <v>0</v>
      </c>
      <c r="H67" s="8" t="n">
        <v>200</v>
      </c>
      <c r="I67" s="8" t="n">
        <v>3075</v>
      </c>
      <c r="J67" s="9" t="n">
        <v>0</v>
      </c>
      <c r="K67" s="4">
        <f>IFERROR(INDEX('02_Employee_Master'!$D:$D,MATCH(A67,'02_Employee_Master'!$A:$A,0)),"")</f>
        <v/>
      </c>
      <c r="L67" s="4">
        <f>IFERROR(INDEX('02_Employee_Master'!$J:$J,MATCH(A67,'02_Employee_Master'!$A:$A,0)),"")</f>
        <v/>
      </c>
    </row>
    <row r="68">
      <c r="A68" s="4" t="inlineStr">
        <is>
          <t>E067</t>
        </is>
      </c>
      <c r="B68" s="4" t="inlineStr">
        <is>
          <t>C008</t>
        </is>
      </c>
      <c r="C68" s="8" t="n">
        <v>117707</v>
      </c>
      <c r="D68" s="8" t="n">
        <v>104532</v>
      </c>
      <c r="E68" s="8" t="n">
        <v>104532</v>
      </c>
      <c r="F68" s="8" t="n">
        <v>9444</v>
      </c>
      <c r="G68" s="8" t="n">
        <v>0</v>
      </c>
      <c r="H68" s="8" t="n">
        <v>200</v>
      </c>
      <c r="I68" s="8" t="n">
        <v>3531</v>
      </c>
      <c r="J68" s="9" t="n">
        <v>0</v>
      </c>
      <c r="K68" s="4">
        <f>IFERROR(INDEX('02_Employee_Master'!$D:$D,MATCH(A68,'02_Employee_Master'!$A:$A,0)),"")</f>
        <v/>
      </c>
      <c r="L68" s="4">
        <f>IFERROR(INDEX('02_Employee_Master'!$J:$J,MATCH(A68,'02_Employee_Master'!$A:$A,0)),"")</f>
        <v/>
      </c>
    </row>
    <row r="69">
      <c r="A69" s="4" t="inlineStr">
        <is>
          <t>E068</t>
        </is>
      </c>
      <c r="B69" s="4" t="inlineStr">
        <is>
          <t>C006</t>
        </is>
      </c>
      <c r="C69" s="8" t="n">
        <v>112736</v>
      </c>
      <c r="D69" s="8" t="n">
        <v>100918</v>
      </c>
      <c r="E69" s="8" t="n">
        <v>100878</v>
      </c>
      <c r="F69" s="8" t="n">
        <v>8236</v>
      </c>
      <c r="G69" s="8" t="n">
        <v>0</v>
      </c>
      <c r="H69" s="8" t="n">
        <v>200</v>
      </c>
      <c r="I69" s="8" t="n">
        <v>3382</v>
      </c>
      <c r="J69" s="9" t="n">
        <v>-40</v>
      </c>
      <c r="K69" s="4">
        <f>IFERROR(INDEX('02_Employee_Master'!$D:$D,MATCH(A69,'02_Employee_Master'!$A:$A,0)),"")</f>
        <v/>
      </c>
      <c r="L69" s="4">
        <f>IFERROR(INDEX('02_Employee_Master'!$J:$J,MATCH(A69,'02_Employee_Master'!$A:$A,0)),"")</f>
        <v/>
      </c>
    </row>
    <row r="70">
      <c r="A70" s="4" t="inlineStr">
        <is>
          <t>E069</t>
        </is>
      </c>
      <c r="B70" s="4" t="inlineStr">
        <is>
          <t>C048</t>
        </is>
      </c>
      <c r="C70" s="8" t="n">
        <v>42487</v>
      </c>
      <c r="D70" s="8" t="n">
        <v>39886</v>
      </c>
      <c r="E70" s="8" t="n">
        <v>39851</v>
      </c>
      <c r="F70" s="8" t="n">
        <v>2401</v>
      </c>
      <c r="G70" s="8" t="n">
        <v>0</v>
      </c>
      <c r="H70" s="8" t="n">
        <v>200</v>
      </c>
      <c r="I70" s="8" t="n">
        <v>0</v>
      </c>
      <c r="J70" s="9" t="n">
        <v>-35</v>
      </c>
      <c r="K70" s="4">
        <f>IFERROR(INDEX('02_Employee_Master'!$D:$D,MATCH(A70,'02_Employee_Master'!$A:$A,0)),"")</f>
        <v/>
      </c>
      <c r="L70" s="4">
        <f>IFERROR(INDEX('02_Employee_Master'!$J:$J,MATCH(A70,'02_Employee_Master'!$A:$A,0)),"")</f>
        <v/>
      </c>
    </row>
    <row r="71">
      <c r="A71" s="4" t="inlineStr">
        <is>
          <t>E070</t>
        </is>
      </c>
      <c r="B71" s="4" t="inlineStr">
        <is>
          <t>C010</t>
        </is>
      </c>
      <c r="C71" s="8" t="n">
        <v>114341</v>
      </c>
      <c r="D71" s="8" t="n">
        <v>102183</v>
      </c>
      <c r="E71" s="8" t="n">
        <v>102183</v>
      </c>
      <c r="F71" s="8" t="n">
        <v>8528</v>
      </c>
      <c r="G71" s="8" t="n">
        <v>0</v>
      </c>
      <c r="H71" s="8" t="n">
        <v>200</v>
      </c>
      <c r="I71" s="8" t="n">
        <v>3430</v>
      </c>
      <c r="J71" s="9" t="n">
        <v>0</v>
      </c>
      <c r="K71" s="4">
        <f>IFERROR(INDEX('02_Employee_Master'!$D:$D,MATCH(A71,'02_Employee_Master'!$A:$A,0)),"")</f>
        <v/>
      </c>
      <c r="L71" s="4">
        <f>IFERROR(INDEX('02_Employee_Master'!$J:$J,MATCH(A71,'02_Employee_Master'!$A:$A,0)),"")</f>
        <v/>
      </c>
    </row>
    <row r="72">
      <c r="A72" s="4" t="inlineStr">
        <is>
          <t>E071</t>
        </is>
      </c>
      <c r="B72" s="4" t="inlineStr">
        <is>
          <t>C023</t>
        </is>
      </c>
      <c r="C72" s="8" t="n">
        <v>137500</v>
      </c>
      <c r="D72" s="8" t="n">
        <v>125713</v>
      </c>
      <c r="E72" s="8" t="n">
        <v>125713</v>
      </c>
      <c r="F72" s="8" t="n">
        <v>7462</v>
      </c>
      <c r="G72" s="8" t="n">
        <v>0</v>
      </c>
      <c r="H72" s="8" t="n">
        <v>200</v>
      </c>
      <c r="I72" s="8" t="n">
        <v>4125</v>
      </c>
      <c r="J72" s="9" t="n">
        <v>0</v>
      </c>
      <c r="K72" s="4">
        <f>IFERROR(INDEX('02_Employee_Master'!$D:$D,MATCH(A72,'02_Employee_Master'!$A:$A,0)),"")</f>
        <v/>
      </c>
      <c r="L72" s="4">
        <f>IFERROR(INDEX('02_Employee_Master'!$J:$J,MATCH(A72,'02_Employee_Master'!$A:$A,0)),"")</f>
        <v/>
      </c>
    </row>
    <row r="73">
      <c r="A73" s="4" t="inlineStr">
        <is>
          <t>E072</t>
        </is>
      </c>
      <c r="B73" s="4" t="inlineStr">
        <is>
          <t>C034</t>
        </is>
      </c>
      <c r="C73" s="8" t="n">
        <v>105418</v>
      </c>
      <c r="D73" s="8" t="n">
        <v>93663</v>
      </c>
      <c r="E73" s="8" t="n">
        <v>93663</v>
      </c>
      <c r="F73" s="8" t="n">
        <v>8392</v>
      </c>
      <c r="G73" s="8" t="n">
        <v>0</v>
      </c>
      <c r="H73" s="8" t="n">
        <v>200</v>
      </c>
      <c r="I73" s="8" t="n">
        <v>3163</v>
      </c>
      <c r="J73" s="9" t="n">
        <v>0</v>
      </c>
      <c r="K73" s="4">
        <f>IFERROR(INDEX('02_Employee_Master'!$D:$D,MATCH(A73,'02_Employee_Master'!$A:$A,0)),"")</f>
        <v/>
      </c>
      <c r="L73" s="4">
        <f>IFERROR(INDEX('02_Employee_Master'!$J:$J,MATCH(A73,'02_Employee_Master'!$A:$A,0)),"")</f>
        <v/>
      </c>
    </row>
    <row r="74">
      <c r="A74" s="4" t="inlineStr">
        <is>
          <t>E073</t>
        </is>
      </c>
      <c r="B74" s="4" t="inlineStr">
        <is>
          <t>C041</t>
        </is>
      </c>
      <c r="C74" s="8" t="n">
        <v>112502</v>
      </c>
      <c r="D74" s="8" t="n">
        <v>100366</v>
      </c>
      <c r="E74" s="8" t="n">
        <v>100366</v>
      </c>
      <c r="F74" s="8" t="n">
        <v>8561</v>
      </c>
      <c r="G74" s="8" t="n">
        <v>0</v>
      </c>
      <c r="H74" s="8" t="n">
        <v>200</v>
      </c>
      <c r="I74" s="8" t="n">
        <v>3375</v>
      </c>
      <c r="J74" s="9" t="n">
        <v>0</v>
      </c>
      <c r="K74" s="4">
        <f>IFERROR(INDEX('02_Employee_Master'!$D:$D,MATCH(A74,'02_Employee_Master'!$A:$A,0)),"")</f>
        <v/>
      </c>
      <c r="L74" s="4">
        <f>IFERROR(INDEX('02_Employee_Master'!$J:$J,MATCH(A74,'02_Employee_Master'!$A:$A,0)),"")</f>
        <v/>
      </c>
    </row>
    <row r="75">
      <c r="A75" s="4" t="inlineStr">
        <is>
          <t>E074</t>
        </is>
      </c>
      <c r="B75" s="4" t="inlineStr">
        <is>
          <t>C034</t>
        </is>
      </c>
      <c r="C75" s="8" t="n">
        <v>106818</v>
      </c>
      <c r="D75" s="8" t="n">
        <v>90141</v>
      </c>
      <c r="E75" s="8" t="n">
        <v>90141</v>
      </c>
      <c r="F75" s="8" t="n">
        <v>8532</v>
      </c>
      <c r="G75" s="8" t="n">
        <v>0</v>
      </c>
      <c r="H75" s="8" t="n">
        <v>200</v>
      </c>
      <c r="I75" s="8" t="n">
        <v>3205</v>
      </c>
      <c r="J75" s="9" t="n">
        <v>0</v>
      </c>
      <c r="K75" s="4">
        <f>IFERROR(INDEX('02_Employee_Master'!$D:$D,MATCH(A75,'02_Employee_Master'!$A:$A,0)),"")</f>
        <v/>
      </c>
      <c r="L75" s="4">
        <f>IFERROR(INDEX('02_Employee_Master'!$J:$J,MATCH(A75,'02_Employee_Master'!$A:$A,0)),"")</f>
        <v/>
      </c>
    </row>
    <row r="76">
      <c r="A76" s="4" t="inlineStr">
        <is>
          <t>E075</t>
        </is>
      </c>
      <c r="B76" s="4" t="inlineStr">
        <is>
          <t>C021</t>
        </is>
      </c>
      <c r="C76" s="8" t="n">
        <v>45477</v>
      </c>
      <c r="D76" s="8" t="n">
        <v>41825</v>
      </c>
      <c r="E76" s="8" t="n">
        <v>41825</v>
      </c>
      <c r="F76" s="8" t="n">
        <v>3452</v>
      </c>
      <c r="G76" s="8" t="n">
        <v>0</v>
      </c>
      <c r="H76" s="8" t="n">
        <v>200</v>
      </c>
      <c r="I76" s="8" t="n">
        <v>0</v>
      </c>
      <c r="J76" s="9" t="n">
        <v>0</v>
      </c>
      <c r="K76" s="4">
        <f>IFERROR(INDEX('02_Employee_Master'!$D:$D,MATCH(A76,'02_Employee_Master'!$A:$A,0)),"")</f>
        <v/>
      </c>
      <c r="L76" s="4">
        <f>IFERROR(INDEX('02_Employee_Master'!$J:$J,MATCH(A76,'02_Employee_Master'!$A:$A,0)),"")</f>
        <v/>
      </c>
    </row>
    <row r="77">
      <c r="A77" s="4" t="inlineStr">
        <is>
          <t>E076</t>
        </is>
      </c>
      <c r="B77" s="4" t="inlineStr">
        <is>
          <t>C042</t>
        </is>
      </c>
      <c r="C77" s="8" t="n">
        <v>100794</v>
      </c>
      <c r="D77" s="8" t="n">
        <v>90158</v>
      </c>
      <c r="E77" s="8" t="n">
        <v>90158</v>
      </c>
      <c r="F77" s="8" t="n">
        <v>7412</v>
      </c>
      <c r="G77" s="8" t="n">
        <v>0</v>
      </c>
      <c r="H77" s="8" t="n">
        <v>200</v>
      </c>
      <c r="I77" s="8" t="n">
        <v>3024</v>
      </c>
      <c r="J77" s="9" t="n">
        <v>0</v>
      </c>
      <c r="K77" s="4">
        <f>IFERROR(INDEX('02_Employee_Master'!$D:$D,MATCH(A77,'02_Employee_Master'!$A:$A,0)),"")</f>
        <v/>
      </c>
      <c r="L77" s="4">
        <f>IFERROR(INDEX('02_Employee_Master'!$J:$J,MATCH(A77,'02_Employee_Master'!$A:$A,0)),"")</f>
        <v/>
      </c>
    </row>
    <row r="78">
      <c r="A78" s="4" t="inlineStr">
        <is>
          <t>E077</t>
        </is>
      </c>
      <c r="B78" s="4" t="inlineStr">
        <is>
          <t>C041</t>
        </is>
      </c>
      <c r="C78" s="8" t="n">
        <v>78839</v>
      </c>
      <c r="D78" s="8" t="n">
        <v>72777</v>
      </c>
      <c r="E78" s="8" t="n">
        <v>72777</v>
      </c>
      <c r="F78" s="8" t="n">
        <v>5862</v>
      </c>
      <c r="G78" s="8" t="n">
        <v>0</v>
      </c>
      <c r="H78" s="8" t="n">
        <v>200</v>
      </c>
      <c r="I78" s="8" t="n">
        <v>0</v>
      </c>
      <c r="J78" s="9" t="n">
        <v>0</v>
      </c>
      <c r="K78" s="4">
        <f>IFERROR(INDEX('02_Employee_Master'!$D:$D,MATCH(A78,'02_Employee_Master'!$A:$A,0)),"")</f>
        <v/>
      </c>
      <c r="L78" s="4">
        <f>IFERROR(INDEX('02_Employee_Master'!$J:$J,MATCH(A78,'02_Employee_Master'!$A:$A,0)),"")</f>
        <v/>
      </c>
    </row>
    <row r="79">
      <c r="A79" s="4" t="inlineStr">
        <is>
          <t>E078</t>
        </is>
      </c>
      <c r="B79" s="4" t="inlineStr">
        <is>
          <t>C034</t>
        </is>
      </c>
      <c r="C79" s="8" t="n">
        <v>41651</v>
      </c>
      <c r="D79" s="8" t="n">
        <v>38497</v>
      </c>
      <c r="E79" s="8" t="n">
        <v>38497</v>
      </c>
      <c r="F79" s="8" t="n">
        <v>2954</v>
      </c>
      <c r="G79" s="8" t="n">
        <v>0</v>
      </c>
      <c r="H79" s="8" t="n">
        <v>200</v>
      </c>
      <c r="I79" s="8" t="n">
        <v>0</v>
      </c>
      <c r="J79" s="9" t="n">
        <v>0</v>
      </c>
      <c r="K79" s="4">
        <f>IFERROR(INDEX('02_Employee_Master'!$D:$D,MATCH(A79,'02_Employee_Master'!$A:$A,0)),"")</f>
        <v/>
      </c>
      <c r="L79" s="4">
        <f>IFERROR(INDEX('02_Employee_Master'!$J:$J,MATCH(A79,'02_Employee_Master'!$A:$A,0)),"")</f>
        <v/>
      </c>
    </row>
    <row r="80">
      <c r="A80" s="4" t="inlineStr">
        <is>
          <t>E079</t>
        </is>
      </c>
      <c r="B80" s="4" t="inlineStr">
        <is>
          <t>C002</t>
        </is>
      </c>
      <c r="C80" s="8" t="n">
        <v>68441</v>
      </c>
      <c r="D80" s="8" t="n">
        <v>62815</v>
      </c>
      <c r="E80" s="8" t="n">
        <v>62815</v>
      </c>
      <c r="F80" s="8" t="n">
        <v>5426</v>
      </c>
      <c r="G80" s="8" t="n">
        <v>0</v>
      </c>
      <c r="H80" s="8" t="n">
        <v>200</v>
      </c>
      <c r="I80" s="8" t="n">
        <v>0</v>
      </c>
      <c r="J80" s="9" t="n">
        <v>0</v>
      </c>
      <c r="K80" s="4">
        <f>IFERROR(INDEX('02_Employee_Master'!$D:$D,MATCH(A80,'02_Employee_Master'!$A:$A,0)),"")</f>
        <v/>
      </c>
      <c r="L80" s="4">
        <f>IFERROR(INDEX('02_Employee_Master'!$J:$J,MATCH(A80,'02_Employee_Master'!$A:$A,0)),"")</f>
        <v/>
      </c>
    </row>
    <row r="81">
      <c r="A81" s="4" t="inlineStr">
        <is>
          <t>E080</t>
        </is>
      </c>
      <c r="B81" s="4" t="inlineStr">
        <is>
          <t>C045</t>
        </is>
      </c>
      <c r="C81" s="8" t="n">
        <v>58006</v>
      </c>
      <c r="D81" s="8" t="n">
        <v>53889</v>
      </c>
      <c r="E81" s="8" t="n">
        <v>53889</v>
      </c>
      <c r="F81" s="8" t="n">
        <v>3917</v>
      </c>
      <c r="G81" s="8" t="n">
        <v>0</v>
      </c>
      <c r="H81" s="8" t="n">
        <v>200</v>
      </c>
      <c r="I81" s="8" t="n">
        <v>0</v>
      </c>
      <c r="J81" s="9" t="n">
        <v>0</v>
      </c>
      <c r="K81" s="4">
        <f>IFERROR(INDEX('02_Employee_Master'!$D:$D,MATCH(A81,'02_Employee_Master'!$A:$A,0)),"")</f>
        <v/>
      </c>
      <c r="L81" s="4">
        <f>IFERROR(INDEX('02_Employee_Master'!$J:$J,MATCH(A81,'02_Employee_Master'!$A:$A,0)),"")</f>
        <v/>
      </c>
    </row>
    <row r="82">
      <c r="A82" s="4" t="inlineStr">
        <is>
          <t>E262</t>
        </is>
      </c>
      <c r="B82" s="4" t="inlineStr">
        <is>
          <t>C017</t>
        </is>
      </c>
      <c r="C82" s="8" t="n">
        <v>51986</v>
      </c>
      <c r="D82" s="8" t="n">
        <v>48068</v>
      </c>
      <c r="E82" s="8" t="n">
        <v>48068</v>
      </c>
      <c r="F82" s="8" t="n">
        <v>3718</v>
      </c>
      <c r="G82" s="8" t="n">
        <v>0</v>
      </c>
      <c r="H82" s="8" t="n">
        <v>200</v>
      </c>
      <c r="I82" s="8" t="n">
        <v>0</v>
      </c>
      <c r="J82" s="9" t="n">
        <v>0</v>
      </c>
      <c r="K82" s="4">
        <f>IFERROR(INDEX('02_Employee_Master'!$D:$D,MATCH(A82,'02_Employee_Master'!$A:$A,0)),"")</f>
        <v/>
      </c>
      <c r="L82" s="4">
        <f>IFERROR(INDEX('02_Employee_Master'!$J:$J,MATCH(A82,'02_Employee_Master'!$A:$A,0)),"")</f>
        <v/>
      </c>
    </row>
    <row r="83">
      <c r="A83" s="4" t="inlineStr">
        <is>
          <t>E082</t>
        </is>
      </c>
      <c r="B83" s="4" t="inlineStr">
        <is>
          <t>C031</t>
        </is>
      </c>
      <c r="C83" s="8" t="n">
        <v>68028</v>
      </c>
      <c r="D83" s="8" t="n">
        <v>62684</v>
      </c>
      <c r="E83" s="8" t="n">
        <v>62684</v>
      </c>
      <c r="F83" s="8" t="n">
        <v>5144</v>
      </c>
      <c r="G83" s="8" t="n">
        <v>0</v>
      </c>
      <c r="H83" s="8" t="n">
        <v>200</v>
      </c>
      <c r="I83" s="8" t="n">
        <v>0</v>
      </c>
      <c r="J83" s="9" t="n">
        <v>0</v>
      </c>
      <c r="K83" s="4">
        <f>IFERROR(INDEX('02_Employee_Master'!$D:$D,MATCH(A83,'02_Employee_Master'!$A:$A,0)),"")</f>
        <v/>
      </c>
      <c r="L83" s="4">
        <f>IFERROR(INDEX('02_Employee_Master'!$J:$J,MATCH(A83,'02_Employee_Master'!$A:$A,0)),"")</f>
        <v/>
      </c>
    </row>
    <row r="84">
      <c r="A84" s="4" t="inlineStr">
        <is>
          <t>E083</t>
        </is>
      </c>
      <c r="B84" s="4" t="inlineStr">
        <is>
          <t>C035</t>
        </is>
      </c>
      <c r="C84" s="8" t="n">
        <v>34208</v>
      </c>
      <c r="D84" s="8" t="n">
        <v>31564</v>
      </c>
      <c r="E84" s="8" t="n">
        <v>31564</v>
      </c>
      <c r="F84" s="8" t="n">
        <v>2444</v>
      </c>
      <c r="G84" s="8" t="n">
        <v>0</v>
      </c>
      <c r="H84" s="8" t="n">
        <v>200</v>
      </c>
      <c r="I84" s="8" t="n">
        <v>0</v>
      </c>
      <c r="J84" s="9" t="n">
        <v>0</v>
      </c>
      <c r="K84" s="4">
        <f>IFERROR(INDEX('02_Employee_Master'!$D:$D,MATCH(A84,'02_Employee_Master'!$A:$A,0)),"")</f>
        <v/>
      </c>
      <c r="L84" s="4">
        <f>IFERROR(INDEX('02_Employee_Master'!$J:$J,MATCH(A84,'02_Employee_Master'!$A:$A,0)),"")</f>
        <v/>
      </c>
    </row>
    <row r="85">
      <c r="A85" s="4" t="inlineStr">
        <is>
          <t>E084</t>
        </is>
      </c>
      <c r="B85" s="4" t="inlineStr">
        <is>
          <t>C016</t>
        </is>
      </c>
      <c r="C85" s="8" t="n">
        <v>91925</v>
      </c>
      <c r="D85" s="8" t="n">
        <v>85075</v>
      </c>
      <c r="E85" s="8" t="n">
        <v>85075</v>
      </c>
      <c r="F85" s="8" t="n">
        <v>6650</v>
      </c>
      <c r="G85" s="8" t="n">
        <v>0</v>
      </c>
      <c r="H85" s="8" t="n">
        <v>200</v>
      </c>
      <c r="I85" s="8" t="n">
        <v>0</v>
      </c>
      <c r="J85" s="9" t="n">
        <v>0</v>
      </c>
      <c r="K85" s="4">
        <f>IFERROR(INDEX('02_Employee_Master'!$D:$D,MATCH(A85,'02_Employee_Master'!$A:$A,0)),"")</f>
        <v/>
      </c>
      <c r="L85" s="4">
        <f>IFERROR(INDEX('02_Employee_Master'!$J:$J,MATCH(A85,'02_Employee_Master'!$A:$A,0)),"")</f>
        <v/>
      </c>
    </row>
    <row r="86">
      <c r="A86" s="4" t="inlineStr">
        <is>
          <t>E085</t>
        </is>
      </c>
      <c r="B86" s="4" t="inlineStr">
        <is>
          <t>C042</t>
        </is>
      </c>
      <c r="C86" s="8" t="n">
        <v>49149</v>
      </c>
      <c r="D86" s="8" t="n">
        <v>45692</v>
      </c>
      <c r="E86" s="8" t="n">
        <v>45692</v>
      </c>
      <c r="F86" s="8" t="n">
        <v>3257</v>
      </c>
      <c r="G86" s="8" t="n">
        <v>0</v>
      </c>
      <c r="H86" s="8" t="n">
        <v>200</v>
      </c>
      <c r="I86" s="8" t="n">
        <v>0</v>
      </c>
      <c r="J86" s="9" t="n">
        <v>0</v>
      </c>
      <c r="K86" s="4">
        <f>IFERROR(INDEX('02_Employee_Master'!$D:$D,MATCH(A86,'02_Employee_Master'!$A:$A,0)),"")</f>
        <v/>
      </c>
      <c r="L86" s="4">
        <f>IFERROR(INDEX('02_Employee_Master'!$J:$J,MATCH(A86,'02_Employee_Master'!$A:$A,0)),"")</f>
        <v/>
      </c>
    </row>
    <row r="87">
      <c r="A87" s="4" t="inlineStr">
        <is>
          <t>E086</t>
        </is>
      </c>
      <c r="B87" s="4" t="inlineStr">
        <is>
          <t>C015</t>
        </is>
      </c>
      <c r="C87" s="8" t="n">
        <v>97593</v>
      </c>
      <c r="D87" s="8" t="n">
        <v>90023</v>
      </c>
      <c r="E87" s="8" t="n">
        <v>90023</v>
      </c>
      <c r="F87" s="8" t="n">
        <v>7370</v>
      </c>
      <c r="G87" s="8" t="n">
        <v>0</v>
      </c>
      <c r="H87" s="8" t="n">
        <v>200</v>
      </c>
      <c r="I87" s="8" t="n">
        <v>0</v>
      </c>
      <c r="J87" s="9" t="n">
        <v>0</v>
      </c>
      <c r="K87" s="4">
        <f>IFERROR(INDEX('02_Employee_Master'!$D:$D,MATCH(A87,'02_Employee_Master'!$A:$A,0)),"")</f>
        <v/>
      </c>
      <c r="L87" s="4">
        <f>IFERROR(INDEX('02_Employee_Master'!$J:$J,MATCH(A87,'02_Employee_Master'!$A:$A,0)),"")</f>
        <v/>
      </c>
    </row>
    <row r="88">
      <c r="A88" s="4" t="inlineStr">
        <is>
          <t>E087</t>
        </is>
      </c>
      <c r="B88" s="4" t="inlineStr">
        <is>
          <t>C022</t>
        </is>
      </c>
      <c r="C88" s="8" t="n">
        <v>93514</v>
      </c>
      <c r="D88" s="8" t="n">
        <v>81820</v>
      </c>
      <c r="E88" s="8" t="n">
        <v>81820</v>
      </c>
      <c r="F88" s="8" t="n">
        <v>7389</v>
      </c>
      <c r="G88" s="8" t="n">
        <v>0</v>
      </c>
      <c r="H88" s="8" t="n">
        <v>200</v>
      </c>
      <c r="I88" s="8" t="n">
        <v>0</v>
      </c>
      <c r="J88" s="9" t="n">
        <v>0</v>
      </c>
      <c r="K88" s="4">
        <f>IFERROR(INDEX('02_Employee_Master'!$D:$D,MATCH(A88,'02_Employee_Master'!$A:$A,0)),"")</f>
        <v/>
      </c>
      <c r="L88" s="4">
        <f>IFERROR(INDEX('02_Employee_Master'!$J:$J,MATCH(A88,'02_Employee_Master'!$A:$A,0)),"")</f>
        <v/>
      </c>
    </row>
    <row r="89">
      <c r="A89" s="4" t="inlineStr">
        <is>
          <t>E088</t>
        </is>
      </c>
      <c r="B89" s="4" t="inlineStr">
        <is>
          <t>C043</t>
        </is>
      </c>
      <c r="C89" s="8" t="n">
        <v>56717</v>
      </c>
      <c r="D89" s="8" t="n">
        <v>52440</v>
      </c>
      <c r="E89" s="8" t="n">
        <v>52440</v>
      </c>
      <c r="F89" s="8" t="n">
        <v>4077</v>
      </c>
      <c r="G89" s="8" t="n">
        <v>0</v>
      </c>
      <c r="H89" s="8" t="n">
        <v>200</v>
      </c>
      <c r="I89" s="8" t="n">
        <v>0</v>
      </c>
      <c r="J89" s="9" t="n">
        <v>0</v>
      </c>
      <c r="K89" s="4">
        <f>IFERROR(INDEX('02_Employee_Master'!$D:$D,MATCH(A89,'02_Employee_Master'!$A:$A,0)),"")</f>
        <v/>
      </c>
      <c r="L89" s="4">
        <f>IFERROR(INDEX('02_Employee_Master'!$J:$J,MATCH(A89,'02_Employee_Master'!$A:$A,0)),"")</f>
        <v/>
      </c>
    </row>
    <row r="90">
      <c r="A90" s="4" t="inlineStr">
        <is>
          <t>E089</t>
        </is>
      </c>
      <c r="B90" s="4" t="inlineStr">
        <is>
          <t>C040</t>
        </is>
      </c>
      <c r="C90" s="8" t="n">
        <v>48316</v>
      </c>
      <c r="D90" s="8" t="n">
        <v>44317</v>
      </c>
      <c r="E90" s="8" t="n">
        <v>44317</v>
      </c>
      <c r="F90" s="8" t="n">
        <v>3799</v>
      </c>
      <c r="G90" s="8" t="n">
        <v>0</v>
      </c>
      <c r="H90" s="8" t="n">
        <v>200</v>
      </c>
      <c r="I90" s="8" t="n">
        <v>0</v>
      </c>
      <c r="J90" s="9" t="n">
        <v>0</v>
      </c>
      <c r="K90" s="4">
        <f>IFERROR(INDEX('02_Employee_Master'!$D:$D,MATCH(A90,'02_Employee_Master'!$A:$A,0)),"")</f>
        <v/>
      </c>
      <c r="L90" s="4">
        <f>IFERROR(INDEX('02_Employee_Master'!$J:$J,MATCH(A90,'02_Employee_Master'!$A:$A,0)),"")</f>
        <v/>
      </c>
    </row>
    <row r="91">
      <c r="A91" s="4" t="inlineStr">
        <is>
          <t>E090</t>
        </is>
      </c>
      <c r="B91" s="4" t="inlineStr">
        <is>
          <t>C022</t>
        </is>
      </c>
      <c r="C91" s="8" t="n">
        <v>54350</v>
      </c>
      <c r="D91" s="8" t="n">
        <v>50232</v>
      </c>
      <c r="E91" s="8" t="n">
        <v>50232</v>
      </c>
      <c r="F91" s="8" t="n">
        <v>3918</v>
      </c>
      <c r="G91" s="8" t="n">
        <v>0</v>
      </c>
      <c r="H91" s="8" t="n">
        <v>200</v>
      </c>
      <c r="I91" s="8" t="n">
        <v>0</v>
      </c>
      <c r="J91" s="9" t="n">
        <v>0</v>
      </c>
      <c r="K91" s="4">
        <f>IFERROR(INDEX('02_Employee_Master'!$D:$D,MATCH(A91,'02_Employee_Master'!$A:$A,0)),"")</f>
        <v/>
      </c>
      <c r="L91" s="4">
        <f>IFERROR(INDEX('02_Employee_Master'!$J:$J,MATCH(A91,'02_Employee_Master'!$A:$A,0)),"")</f>
        <v/>
      </c>
    </row>
    <row r="92">
      <c r="A92" s="4" t="inlineStr">
        <is>
          <t>E091</t>
        </is>
      </c>
      <c r="B92" s="4" t="inlineStr">
        <is>
          <t>C047</t>
        </is>
      </c>
      <c r="C92" s="8" t="n">
        <v>106413</v>
      </c>
      <c r="D92" s="8" t="n">
        <v>89715</v>
      </c>
      <c r="E92" s="8" t="n">
        <v>89715</v>
      </c>
      <c r="F92" s="8" t="n">
        <v>8554</v>
      </c>
      <c r="G92" s="8" t="n">
        <v>0</v>
      </c>
      <c r="H92" s="8" t="n">
        <v>200</v>
      </c>
      <c r="I92" s="8" t="n">
        <v>3192</v>
      </c>
      <c r="J92" s="9" t="n">
        <v>0</v>
      </c>
      <c r="K92" s="4">
        <f>IFERROR(INDEX('02_Employee_Master'!$D:$D,MATCH(A92,'02_Employee_Master'!$A:$A,0)),"")</f>
        <v/>
      </c>
      <c r="L92" s="4">
        <f>IFERROR(INDEX('02_Employee_Master'!$J:$J,MATCH(A92,'02_Employee_Master'!$A:$A,0)),"")</f>
        <v/>
      </c>
    </row>
    <row r="93">
      <c r="A93" s="4" t="inlineStr">
        <is>
          <t>E092</t>
        </is>
      </c>
      <c r="B93" s="4" t="inlineStr">
        <is>
          <t>C026</t>
        </is>
      </c>
      <c r="C93" s="8" t="n">
        <v>116601</v>
      </c>
      <c r="D93" s="8" t="n">
        <v>104090</v>
      </c>
      <c r="E93" s="8" t="n">
        <v>104090</v>
      </c>
      <c r="F93" s="8" t="n">
        <v>8813</v>
      </c>
      <c r="G93" s="8" t="n">
        <v>0</v>
      </c>
      <c r="H93" s="8" t="n">
        <v>200</v>
      </c>
      <c r="I93" s="8" t="n">
        <v>3498</v>
      </c>
      <c r="J93" s="9" t="n">
        <v>0</v>
      </c>
      <c r="K93" s="4">
        <f>IFERROR(INDEX('02_Employee_Master'!$D:$D,MATCH(A93,'02_Employee_Master'!$A:$A,0)),"")</f>
        <v/>
      </c>
      <c r="L93" s="4">
        <f>IFERROR(INDEX('02_Employee_Master'!$J:$J,MATCH(A93,'02_Employee_Master'!$A:$A,0)),"")</f>
        <v/>
      </c>
    </row>
    <row r="94">
      <c r="A94" s="4" t="inlineStr">
        <is>
          <t>E093</t>
        </is>
      </c>
      <c r="B94" s="4" t="inlineStr">
        <is>
          <t>C023</t>
        </is>
      </c>
      <c r="C94" s="8" t="n">
        <v>57264</v>
      </c>
      <c r="D94" s="8" t="n">
        <v>52470</v>
      </c>
      <c r="E94" s="8" t="n">
        <v>52470</v>
      </c>
      <c r="F94" s="8" t="n">
        <v>4594</v>
      </c>
      <c r="G94" s="8" t="n">
        <v>0</v>
      </c>
      <c r="H94" s="8" t="n">
        <v>200</v>
      </c>
      <c r="I94" s="8" t="n">
        <v>0</v>
      </c>
      <c r="J94" s="9" t="n">
        <v>0</v>
      </c>
      <c r="K94" s="4">
        <f>IFERROR(INDEX('02_Employee_Master'!$D:$D,MATCH(A94,'02_Employee_Master'!$A:$A,0)),"")</f>
        <v/>
      </c>
      <c r="L94" s="4">
        <f>IFERROR(INDEX('02_Employee_Master'!$J:$J,MATCH(A94,'02_Employee_Master'!$A:$A,0)),"")</f>
        <v/>
      </c>
    </row>
    <row r="95">
      <c r="A95" s="4" t="inlineStr">
        <is>
          <t>E094</t>
        </is>
      </c>
      <c r="B95" s="4" t="inlineStr">
        <is>
          <t>C039</t>
        </is>
      </c>
      <c r="C95" s="8" t="n">
        <v>56206</v>
      </c>
      <c r="D95" s="8" t="n">
        <v>51587</v>
      </c>
      <c r="E95" s="8" t="n">
        <v>51047</v>
      </c>
      <c r="F95" s="8" t="n">
        <v>4419</v>
      </c>
      <c r="G95" s="8" t="n">
        <v>0</v>
      </c>
      <c r="H95" s="8" t="n">
        <v>200</v>
      </c>
      <c r="I95" s="8" t="n">
        <v>0</v>
      </c>
      <c r="J95" s="9" t="n">
        <v>-540</v>
      </c>
      <c r="K95" s="4">
        <f>IFERROR(INDEX('02_Employee_Master'!$D:$D,MATCH(A95,'02_Employee_Master'!$A:$A,0)),"")</f>
        <v/>
      </c>
      <c r="L95" s="4">
        <f>IFERROR(INDEX('02_Employee_Master'!$J:$J,MATCH(A95,'02_Employee_Master'!$A:$A,0)),"")</f>
        <v/>
      </c>
    </row>
    <row r="96">
      <c r="A96" s="4" t="inlineStr">
        <is>
          <t>E095</t>
        </is>
      </c>
      <c r="B96" s="4" t="inlineStr">
        <is>
          <t>C033</t>
        </is>
      </c>
      <c r="C96" s="8" t="n">
        <v>122502</v>
      </c>
      <c r="D96" s="8" t="n">
        <v>108887</v>
      </c>
      <c r="E96" s="8" t="n">
        <v>108887</v>
      </c>
      <c r="F96" s="8" t="n">
        <v>9740</v>
      </c>
      <c r="G96" s="8" t="n">
        <v>0</v>
      </c>
      <c r="H96" s="8" t="n">
        <v>200</v>
      </c>
      <c r="I96" s="8" t="n">
        <v>3675</v>
      </c>
      <c r="J96" s="9" t="n">
        <v>0</v>
      </c>
      <c r="K96" s="4">
        <f>IFERROR(INDEX('02_Employee_Master'!$D:$D,MATCH(A96,'02_Employee_Master'!$A:$A,0)),"")</f>
        <v/>
      </c>
      <c r="L96" s="4">
        <f>IFERROR(INDEX('02_Employee_Master'!$J:$J,MATCH(A96,'02_Employee_Master'!$A:$A,0)),"")</f>
        <v/>
      </c>
    </row>
    <row r="97">
      <c r="A97" s="4" t="inlineStr">
        <is>
          <t>E096</t>
        </is>
      </c>
      <c r="B97" s="4" t="inlineStr">
        <is>
          <t>C021</t>
        </is>
      </c>
      <c r="C97" s="8" t="n">
        <v>64733</v>
      </c>
      <c r="D97" s="8" t="n">
        <v>60516</v>
      </c>
      <c r="E97" s="8" t="n">
        <v>60516</v>
      </c>
      <c r="F97" s="8" t="n">
        <v>4017</v>
      </c>
      <c r="G97" s="8" t="n">
        <v>0</v>
      </c>
      <c r="H97" s="8" t="n">
        <v>200</v>
      </c>
      <c r="I97" s="8" t="n">
        <v>0</v>
      </c>
      <c r="J97" s="9" t="n">
        <v>0</v>
      </c>
      <c r="K97" s="4">
        <f>IFERROR(INDEX('02_Employee_Master'!$D:$D,MATCH(A97,'02_Employee_Master'!$A:$A,0)),"")</f>
        <v/>
      </c>
      <c r="L97" s="4">
        <f>IFERROR(INDEX('02_Employee_Master'!$J:$J,MATCH(A97,'02_Employee_Master'!$A:$A,0)),"")</f>
        <v/>
      </c>
    </row>
    <row r="98">
      <c r="A98" s="4" t="inlineStr">
        <is>
          <t>E097</t>
        </is>
      </c>
      <c r="B98" s="4" t="inlineStr">
        <is>
          <t>C032</t>
        </is>
      </c>
      <c r="C98" s="8" t="n">
        <v>133651</v>
      </c>
      <c r="D98" s="8" t="n">
        <v>118777</v>
      </c>
      <c r="E98" s="8" t="n">
        <v>118777</v>
      </c>
      <c r="F98" s="8" t="n">
        <v>10664</v>
      </c>
      <c r="G98" s="8" t="n">
        <v>0</v>
      </c>
      <c r="H98" s="8" t="n">
        <v>200</v>
      </c>
      <c r="I98" s="8" t="n">
        <v>4010</v>
      </c>
      <c r="J98" s="9" t="n">
        <v>0</v>
      </c>
      <c r="K98" s="4">
        <f>IFERROR(INDEX('02_Employee_Master'!$D:$D,MATCH(A98,'02_Employee_Master'!$A:$A,0)),"")</f>
        <v/>
      </c>
      <c r="L98" s="4">
        <f>IFERROR(INDEX('02_Employee_Master'!$J:$J,MATCH(A98,'02_Employee_Master'!$A:$A,0)),"")</f>
        <v/>
      </c>
    </row>
    <row r="99">
      <c r="A99" s="4" t="inlineStr">
        <is>
          <t>E098</t>
        </is>
      </c>
      <c r="B99" s="4" t="inlineStr">
        <is>
          <t>C038</t>
        </is>
      </c>
      <c r="C99" s="8" t="n">
        <v>108822</v>
      </c>
      <c r="D99" s="8" t="n">
        <v>96795</v>
      </c>
      <c r="E99" s="8" t="n">
        <v>96795</v>
      </c>
      <c r="F99" s="8" t="n">
        <v>8562</v>
      </c>
      <c r="G99" s="8" t="n">
        <v>0</v>
      </c>
      <c r="H99" s="8" t="n">
        <v>200</v>
      </c>
      <c r="I99" s="8" t="n">
        <v>3265</v>
      </c>
      <c r="J99" s="9" t="n">
        <v>0</v>
      </c>
      <c r="K99" s="4">
        <f>IFERROR(INDEX('02_Employee_Master'!$D:$D,MATCH(A99,'02_Employee_Master'!$A:$A,0)),"")</f>
        <v/>
      </c>
      <c r="L99" s="4">
        <f>IFERROR(INDEX('02_Employee_Master'!$J:$J,MATCH(A99,'02_Employee_Master'!$A:$A,0)),"")</f>
        <v/>
      </c>
    </row>
    <row r="100">
      <c r="A100" s="4" t="inlineStr">
        <is>
          <t>E099</t>
        </is>
      </c>
      <c r="B100" s="4" t="inlineStr">
        <is>
          <t>C047</t>
        </is>
      </c>
      <c r="C100" s="8" t="n">
        <v>78381</v>
      </c>
      <c r="D100" s="8" t="n">
        <v>71888</v>
      </c>
      <c r="E100" s="8" t="n">
        <v>71888</v>
      </c>
      <c r="F100" s="8" t="n">
        <v>6293</v>
      </c>
      <c r="G100" s="8" t="n">
        <v>0</v>
      </c>
      <c r="H100" s="8" t="n">
        <v>200</v>
      </c>
      <c r="I100" s="8" t="n">
        <v>0</v>
      </c>
      <c r="J100" s="9" t="n">
        <v>0</v>
      </c>
      <c r="K100" s="4">
        <f>IFERROR(INDEX('02_Employee_Master'!$D:$D,MATCH(A100,'02_Employee_Master'!$A:$A,0)),"")</f>
        <v/>
      </c>
      <c r="L100" s="4">
        <f>IFERROR(INDEX('02_Employee_Master'!$J:$J,MATCH(A100,'02_Employee_Master'!$A:$A,0)),"")</f>
        <v/>
      </c>
    </row>
    <row r="101">
      <c r="A101" s="4" t="inlineStr">
        <is>
          <t>E100</t>
        </is>
      </c>
      <c r="B101" s="4" t="inlineStr">
        <is>
          <t>C037</t>
        </is>
      </c>
      <c r="C101" s="8" t="n">
        <v>82117</v>
      </c>
      <c r="D101" s="8" t="n">
        <v>75676</v>
      </c>
      <c r="E101" s="8" t="n">
        <v>75676</v>
      </c>
      <c r="F101" s="8" t="n">
        <v>6241</v>
      </c>
      <c r="G101" s="8" t="n">
        <v>0</v>
      </c>
      <c r="H101" s="8" t="n">
        <v>200</v>
      </c>
      <c r="I101" s="8" t="n">
        <v>0</v>
      </c>
      <c r="J101" s="9" t="n">
        <v>0</v>
      </c>
      <c r="K101" s="4">
        <f>IFERROR(INDEX('02_Employee_Master'!$D:$D,MATCH(A101,'02_Employee_Master'!$A:$A,0)),"")</f>
        <v/>
      </c>
      <c r="L101" s="4">
        <f>IFERROR(INDEX('02_Employee_Master'!$J:$J,MATCH(A101,'02_Employee_Master'!$A:$A,0)),"")</f>
        <v/>
      </c>
    </row>
    <row r="102">
      <c r="A102" s="4" t="inlineStr">
        <is>
          <t>E101</t>
        </is>
      </c>
      <c r="B102" s="4" t="inlineStr">
        <is>
          <t>C026</t>
        </is>
      </c>
      <c r="C102" s="8" t="n">
        <v>29563</v>
      </c>
      <c r="D102" s="8" t="n">
        <v>26113</v>
      </c>
      <c r="E102" s="8" t="n">
        <v>26113</v>
      </c>
      <c r="F102" s="8" t="n">
        <v>2089</v>
      </c>
      <c r="G102" s="8" t="n">
        <v>0</v>
      </c>
      <c r="H102" s="8" t="n">
        <v>200</v>
      </c>
      <c r="I102" s="8" t="n">
        <v>0</v>
      </c>
      <c r="J102" s="9" t="n">
        <v>0</v>
      </c>
      <c r="K102" s="4">
        <f>IFERROR(INDEX('02_Employee_Master'!$D:$D,MATCH(A102,'02_Employee_Master'!$A:$A,0)),"")</f>
        <v/>
      </c>
      <c r="L102" s="4">
        <f>IFERROR(INDEX('02_Employee_Master'!$J:$J,MATCH(A102,'02_Employee_Master'!$A:$A,0)),"")</f>
        <v/>
      </c>
    </row>
    <row r="103">
      <c r="A103" s="4" t="inlineStr">
        <is>
          <t>E102</t>
        </is>
      </c>
      <c r="B103" s="4" t="inlineStr">
        <is>
          <t>C040</t>
        </is>
      </c>
      <c r="C103" s="8" t="n">
        <v>79839</v>
      </c>
      <c r="D103" s="8" t="n">
        <v>73337</v>
      </c>
      <c r="E103" s="8" t="n">
        <v>73337</v>
      </c>
      <c r="F103" s="8" t="n">
        <v>6302</v>
      </c>
      <c r="G103" s="8" t="n">
        <v>0</v>
      </c>
      <c r="H103" s="8" t="n">
        <v>200</v>
      </c>
      <c r="I103" s="8" t="n">
        <v>0</v>
      </c>
      <c r="J103" s="9" t="n">
        <v>0</v>
      </c>
      <c r="K103" s="4">
        <f>IFERROR(INDEX('02_Employee_Master'!$D:$D,MATCH(A103,'02_Employee_Master'!$A:$A,0)),"")</f>
        <v/>
      </c>
      <c r="L103" s="4">
        <f>IFERROR(INDEX('02_Employee_Master'!$J:$J,MATCH(A103,'02_Employee_Master'!$A:$A,0)),"")</f>
        <v/>
      </c>
    </row>
    <row r="104">
      <c r="A104" s="4" t="inlineStr">
        <is>
          <t>E103</t>
        </is>
      </c>
      <c r="B104" s="4" t="inlineStr">
        <is>
          <t>C050</t>
        </is>
      </c>
      <c r="C104" s="8" t="n">
        <v>84175</v>
      </c>
      <c r="D104" s="8" t="n">
        <v>77434</v>
      </c>
      <c r="E104" s="8" t="n">
        <v>77434</v>
      </c>
      <c r="F104" s="8" t="n">
        <v>6541</v>
      </c>
      <c r="G104" s="8" t="n">
        <v>0</v>
      </c>
      <c r="H104" s="8" t="n">
        <v>200</v>
      </c>
      <c r="I104" s="8" t="n">
        <v>0</v>
      </c>
      <c r="J104" s="9" t="n">
        <v>0</v>
      </c>
      <c r="K104" s="4">
        <f>IFERROR(INDEX('02_Employee_Master'!$D:$D,MATCH(A104,'02_Employee_Master'!$A:$A,0)),"")</f>
        <v/>
      </c>
      <c r="L104" s="4">
        <f>IFERROR(INDEX('02_Employee_Master'!$J:$J,MATCH(A104,'02_Employee_Master'!$A:$A,0)),"")</f>
        <v/>
      </c>
    </row>
    <row r="105">
      <c r="A105" s="4" t="inlineStr">
        <is>
          <t>E104</t>
        </is>
      </c>
      <c r="B105" s="4" t="inlineStr">
        <is>
          <t>C048</t>
        </is>
      </c>
      <c r="C105" s="8" t="n">
        <v>129274</v>
      </c>
      <c r="D105" s="8" t="n">
        <v>115241</v>
      </c>
      <c r="E105" s="8" t="n">
        <v>115206</v>
      </c>
      <c r="F105" s="8" t="n">
        <v>9955</v>
      </c>
      <c r="G105" s="8" t="n">
        <v>0</v>
      </c>
      <c r="H105" s="8" t="n">
        <v>200</v>
      </c>
      <c r="I105" s="8" t="n">
        <v>3878</v>
      </c>
      <c r="J105" s="9" t="n">
        <v>-35</v>
      </c>
      <c r="K105" s="4">
        <f>IFERROR(INDEX('02_Employee_Master'!$D:$D,MATCH(A105,'02_Employee_Master'!$A:$A,0)),"")</f>
        <v/>
      </c>
      <c r="L105" s="4">
        <f>IFERROR(INDEX('02_Employee_Master'!$J:$J,MATCH(A105,'02_Employee_Master'!$A:$A,0)),"")</f>
        <v/>
      </c>
    </row>
    <row r="106">
      <c r="A106" s="4" t="inlineStr">
        <is>
          <t>E105</t>
        </is>
      </c>
      <c r="B106" s="4" t="inlineStr">
        <is>
          <t>C044</t>
        </is>
      </c>
      <c r="C106" s="8" t="n">
        <v>81103</v>
      </c>
      <c r="D106" s="8" t="n">
        <v>74355</v>
      </c>
      <c r="E106" s="8" t="n">
        <v>74355</v>
      </c>
      <c r="F106" s="8" t="n">
        <v>6548</v>
      </c>
      <c r="G106" s="8" t="n">
        <v>0</v>
      </c>
      <c r="H106" s="8" t="n">
        <v>200</v>
      </c>
      <c r="I106" s="8" t="n">
        <v>0</v>
      </c>
      <c r="J106" s="9" t="n">
        <v>0</v>
      </c>
      <c r="K106" s="4">
        <f>IFERROR(INDEX('02_Employee_Master'!$D:$D,MATCH(A106,'02_Employee_Master'!$A:$A,0)),"")</f>
        <v/>
      </c>
      <c r="L106" s="4">
        <f>IFERROR(INDEX('02_Employee_Master'!$J:$J,MATCH(A106,'02_Employee_Master'!$A:$A,0)),"")</f>
        <v/>
      </c>
    </row>
    <row r="107">
      <c r="A107" s="4" t="inlineStr">
        <is>
          <t>E106</t>
        </is>
      </c>
      <c r="B107" s="4" t="inlineStr">
        <is>
          <t>C017</t>
        </is>
      </c>
      <c r="C107" s="8" t="n">
        <v>64317</v>
      </c>
      <c r="D107" s="8" t="n">
        <v>58654</v>
      </c>
      <c r="E107" s="8" t="n">
        <v>58654</v>
      </c>
      <c r="F107" s="8" t="n">
        <v>4275</v>
      </c>
      <c r="G107" s="8" t="n">
        <v>0</v>
      </c>
      <c r="H107" s="8" t="n">
        <v>200</v>
      </c>
      <c r="I107" s="8" t="n">
        <v>0</v>
      </c>
      <c r="J107" s="9" t="n">
        <v>0</v>
      </c>
      <c r="K107" s="4">
        <f>IFERROR(INDEX('02_Employee_Master'!$D:$D,MATCH(A107,'02_Employee_Master'!$A:$A,0)),"")</f>
        <v/>
      </c>
      <c r="L107" s="4">
        <f>IFERROR(INDEX('02_Employee_Master'!$J:$J,MATCH(A107,'02_Employee_Master'!$A:$A,0)),"")</f>
        <v/>
      </c>
    </row>
    <row r="108">
      <c r="A108" s="4" t="inlineStr">
        <is>
          <t>E107</t>
        </is>
      </c>
      <c r="B108" s="4" t="inlineStr">
        <is>
          <t>C007</t>
        </is>
      </c>
      <c r="C108" s="8" t="n">
        <v>121228</v>
      </c>
      <c r="D108" s="8" t="n">
        <v>107554</v>
      </c>
      <c r="E108" s="8" t="n">
        <v>107554</v>
      </c>
      <c r="F108" s="8" t="n">
        <v>9837</v>
      </c>
      <c r="G108" s="8" t="n">
        <v>0</v>
      </c>
      <c r="H108" s="8" t="n">
        <v>200</v>
      </c>
      <c r="I108" s="8" t="n">
        <v>3637</v>
      </c>
      <c r="J108" s="9" t="n">
        <v>0</v>
      </c>
      <c r="K108" s="4">
        <f>IFERROR(INDEX('02_Employee_Master'!$D:$D,MATCH(A108,'02_Employee_Master'!$A:$A,0)),"")</f>
        <v/>
      </c>
      <c r="L108" s="4">
        <f>IFERROR(INDEX('02_Employee_Master'!$J:$J,MATCH(A108,'02_Employee_Master'!$A:$A,0)),"")</f>
        <v/>
      </c>
    </row>
    <row r="109">
      <c r="A109" s="4" t="inlineStr">
        <is>
          <t>E108</t>
        </is>
      </c>
      <c r="B109" s="4" t="inlineStr">
        <is>
          <t>C041</t>
        </is>
      </c>
      <c r="C109" s="8" t="n">
        <v>88599</v>
      </c>
      <c r="D109" s="8" t="n">
        <v>81563</v>
      </c>
      <c r="E109" s="8" t="n">
        <v>81563</v>
      </c>
      <c r="F109" s="8" t="n">
        <v>6836</v>
      </c>
      <c r="G109" s="8" t="n">
        <v>0</v>
      </c>
      <c r="H109" s="8" t="n">
        <v>200</v>
      </c>
      <c r="I109" s="8" t="n">
        <v>0</v>
      </c>
      <c r="J109" s="9" t="n">
        <v>0</v>
      </c>
      <c r="K109" s="4">
        <f>IFERROR(INDEX('02_Employee_Master'!$D:$D,MATCH(A109,'02_Employee_Master'!$A:$A,0)),"")</f>
        <v/>
      </c>
      <c r="L109" s="4">
        <f>IFERROR(INDEX('02_Employee_Master'!$J:$J,MATCH(A109,'02_Employee_Master'!$A:$A,0)),"")</f>
        <v/>
      </c>
    </row>
    <row r="110">
      <c r="A110" s="4" t="inlineStr">
        <is>
          <t>E109</t>
        </is>
      </c>
      <c r="B110" s="4" t="inlineStr">
        <is>
          <t>C014</t>
        </is>
      </c>
      <c r="C110" s="8" t="n">
        <v>99575</v>
      </c>
      <c r="D110" s="8" t="n">
        <v>91891</v>
      </c>
      <c r="E110" s="8" t="n">
        <v>91891</v>
      </c>
      <c r="F110" s="8" t="n">
        <v>7484</v>
      </c>
      <c r="G110" s="8" t="n">
        <v>0</v>
      </c>
      <c r="H110" s="8" t="n">
        <v>200</v>
      </c>
      <c r="I110" s="8" t="n">
        <v>0</v>
      </c>
      <c r="J110" s="9" t="n">
        <v>0</v>
      </c>
      <c r="K110" s="4">
        <f>IFERROR(INDEX('02_Employee_Master'!$D:$D,MATCH(A110,'02_Employee_Master'!$A:$A,0)),"")</f>
        <v/>
      </c>
      <c r="L110" s="4">
        <f>IFERROR(INDEX('02_Employee_Master'!$J:$J,MATCH(A110,'02_Employee_Master'!$A:$A,0)),"")</f>
        <v/>
      </c>
    </row>
    <row r="111">
      <c r="A111" s="4" t="inlineStr">
        <is>
          <t>E110</t>
        </is>
      </c>
      <c r="B111" s="4" t="inlineStr">
        <is>
          <t>C027</t>
        </is>
      </c>
      <c r="C111" s="8" t="n">
        <v>33328</v>
      </c>
      <c r="D111" s="8" t="n">
        <v>30579</v>
      </c>
      <c r="E111" s="8" t="n">
        <v>30579</v>
      </c>
      <c r="F111" s="8" t="n">
        <v>2549</v>
      </c>
      <c r="G111" s="8" t="n">
        <v>0</v>
      </c>
      <c r="H111" s="8" t="n">
        <v>200</v>
      </c>
      <c r="I111" s="8" t="n">
        <v>0</v>
      </c>
      <c r="J111" s="9" t="n">
        <v>0</v>
      </c>
      <c r="K111" s="4">
        <f>IFERROR(INDEX('02_Employee_Master'!$D:$D,MATCH(A111,'02_Employee_Master'!$A:$A,0)),"")</f>
        <v/>
      </c>
      <c r="L111" s="4">
        <f>IFERROR(INDEX('02_Employee_Master'!$J:$J,MATCH(A111,'02_Employee_Master'!$A:$A,0)),"")</f>
        <v/>
      </c>
    </row>
    <row r="112">
      <c r="A112" s="4" t="inlineStr">
        <is>
          <t>E111</t>
        </is>
      </c>
      <c r="B112" s="4" t="inlineStr">
        <is>
          <t>C004</t>
        </is>
      </c>
      <c r="C112" s="8" t="n">
        <v>53163</v>
      </c>
      <c r="D112" s="8" t="n">
        <v>48407</v>
      </c>
      <c r="E112" s="8" t="n">
        <v>48407</v>
      </c>
      <c r="F112" s="8" t="n">
        <v>3566</v>
      </c>
      <c r="G112" s="8" t="n">
        <v>0</v>
      </c>
      <c r="H112" s="8" t="n">
        <v>200</v>
      </c>
      <c r="I112" s="8" t="n">
        <v>0</v>
      </c>
      <c r="J112" s="9" t="n">
        <v>0</v>
      </c>
      <c r="K112" s="4">
        <f>IFERROR(INDEX('02_Employee_Master'!$D:$D,MATCH(A112,'02_Employee_Master'!$A:$A,0)),"")</f>
        <v/>
      </c>
      <c r="L112" s="4">
        <f>IFERROR(INDEX('02_Employee_Master'!$J:$J,MATCH(A112,'02_Employee_Master'!$A:$A,0)),"")</f>
        <v/>
      </c>
    </row>
    <row r="113">
      <c r="A113" s="4" t="inlineStr">
        <is>
          <t>E112</t>
        </is>
      </c>
      <c r="B113" s="4" t="inlineStr">
        <is>
          <t>C049</t>
        </is>
      </c>
      <c r="C113" s="8" t="n">
        <v>38960</v>
      </c>
      <c r="D113" s="8" t="n">
        <v>35597</v>
      </c>
      <c r="E113" s="8" t="n">
        <v>35597</v>
      </c>
      <c r="F113" s="8" t="n">
        <v>2475</v>
      </c>
      <c r="G113" s="8" t="n">
        <v>0</v>
      </c>
      <c r="H113" s="8" t="n">
        <v>200</v>
      </c>
      <c r="I113" s="8" t="n">
        <v>0</v>
      </c>
      <c r="J113" s="9" t="n">
        <v>0</v>
      </c>
      <c r="K113" s="4">
        <f>IFERROR(INDEX('02_Employee_Master'!$D:$D,MATCH(A113,'02_Employee_Master'!$A:$A,0)),"")</f>
        <v/>
      </c>
      <c r="L113" s="4">
        <f>IFERROR(INDEX('02_Employee_Master'!$J:$J,MATCH(A113,'02_Employee_Master'!$A:$A,0)),"")</f>
        <v/>
      </c>
    </row>
    <row r="114">
      <c r="A114" s="4" t="inlineStr">
        <is>
          <t>E113</t>
        </is>
      </c>
      <c r="B114" s="4" t="inlineStr">
        <is>
          <t>C043</t>
        </is>
      </c>
      <c r="C114" s="8" t="n">
        <v>101555</v>
      </c>
      <c r="D114" s="8" t="n">
        <v>91170</v>
      </c>
      <c r="E114" s="8" t="n">
        <v>91170</v>
      </c>
      <c r="F114" s="8" t="n">
        <v>7138</v>
      </c>
      <c r="G114" s="8" t="n">
        <v>0</v>
      </c>
      <c r="H114" s="8" t="n">
        <v>200</v>
      </c>
      <c r="I114" s="8" t="n">
        <v>3047</v>
      </c>
      <c r="J114" s="9" t="n">
        <v>0</v>
      </c>
      <c r="K114" s="4">
        <f>IFERROR(INDEX('02_Employee_Master'!$D:$D,MATCH(A114,'02_Employee_Master'!$A:$A,0)),"")</f>
        <v/>
      </c>
      <c r="L114" s="4">
        <f>IFERROR(INDEX('02_Employee_Master'!$J:$J,MATCH(A114,'02_Employee_Master'!$A:$A,0)),"")</f>
        <v/>
      </c>
    </row>
    <row r="115">
      <c r="A115" s="4" t="inlineStr">
        <is>
          <t>E114</t>
        </is>
      </c>
      <c r="B115" s="4" t="inlineStr">
        <is>
          <t>C047</t>
        </is>
      </c>
      <c r="C115" s="8" t="n">
        <v>136958</v>
      </c>
      <c r="D115" s="8" t="n">
        <v>121963</v>
      </c>
      <c r="E115" s="8" t="n">
        <v>121963</v>
      </c>
      <c r="F115" s="8" t="n">
        <v>10686</v>
      </c>
      <c r="G115" s="8" t="n">
        <v>0</v>
      </c>
      <c r="H115" s="8" t="n">
        <v>200</v>
      </c>
      <c r="I115" s="8" t="n">
        <v>4109</v>
      </c>
      <c r="J115" s="9" t="n">
        <v>0</v>
      </c>
      <c r="K115" s="4">
        <f>IFERROR(INDEX('02_Employee_Master'!$D:$D,MATCH(A115,'02_Employee_Master'!$A:$A,0)),"")</f>
        <v/>
      </c>
      <c r="L115" s="4">
        <f>IFERROR(INDEX('02_Employee_Master'!$J:$J,MATCH(A115,'02_Employee_Master'!$A:$A,0)),"")</f>
        <v/>
      </c>
    </row>
    <row r="116">
      <c r="A116" s="4" t="inlineStr">
        <is>
          <t>E115</t>
        </is>
      </c>
      <c r="B116" s="4" t="inlineStr">
        <is>
          <t>C041</t>
        </is>
      </c>
      <c r="C116" s="8" t="n">
        <v>64792</v>
      </c>
      <c r="D116" s="8" t="n">
        <v>59935</v>
      </c>
      <c r="E116" s="8" t="n">
        <v>59935</v>
      </c>
      <c r="F116" s="8" t="n">
        <v>4657</v>
      </c>
      <c r="G116" s="8" t="n">
        <v>0</v>
      </c>
      <c r="H116" s="8" t="n">
        <v>200</v>
      </c>
      <c r="I116" s="8" t="n">
        <v>0</v>
      </c>
      <c r="J116" s="9" t="n">
        <v>0</v>
      </c>
      <c r="K116" s="4">
        <f>IFERROR(INDEX('02_Employee_Master'!$D:$D,MATCH(A116,'02_Employee_Master'!$A:$A,0)),"")</f>
        <v/>
      </c>
      <c r="L116" s="4">
        <f>IFERROR(INDEX('02_Employee_Master'!$J:$J,MATCH(A116,'02_Employee_Master'!$A:$A,0)),"")</f>
        <v/>
      </c>
    </row>
    <row r="117">
      <c r="A117" s="4" t="inlineStr">
        <is>
          <t>E116</t>
        </is>
      </c>
      <c r="B117" s="4" t="inlineStr">
        <is>
          <t>C006</t>
        </is>
      </c>
      <c r="C117" s="8" t="n">
        <v>84479</v>
      </c>
      <c r="D117" s="8" t="n">
        <v>77598</v>
      </c>
      <c r="E117" s="8" t="n">
        <v>77545</v>
      </c>
      <c r="F117" s="8" t="n">
        <v>6681</v>
      </c>
      <c r="G117" s="8" t="n">
        <v>0</v>
      </c>
      <c r="H117" s="8" t="n">
        <v>200</v>
      </c>
      <c r="I117" s="8" t="n">
        <v>0</v>
      </c>
      <c r="J117" s="9" t="n">
        <v>-53</v>
      </c>
      <c r="K117" s="4">
        <f>IFERROR(INDEX('02_Employee_Master'!$D:$D,MATCH(A117,'02_Employee_Master'!$A:$A,0)),"")</f>
        <v/>
      </c>
      <c r="L117" s="4">
        <f>IFERROR(INDEX('02_Employee_Master'!$J:$J,MATCH(A117,'02_Employee_Master'!$A:$A,0)),"")</f>
        <v/>
      </c>
    </row>
    <row r="118">
      <c r="A118" s="4" t="inlineStr">
        <is>
          <t>E117</t>
        </is>
      </c>
      <c r="B118" s="4" t="inlineStr">
        <is>
          <t>C041</t>
        </is>
      </c>
      <c r="C118" s="8" t="n">
        <v>67704</v>
      </c>
      <c r="D118" s="8" t="n">
        <v>61984</v>
      </c>
      <c r="E118" s="8" t="n">
        <v>61984</v>
      </c>
      <c r="F118" s="8" t="n">
        <v>5520</v>
      </c>
      <c r="G118" s="8" t="n">
        <v>0</v>
      </c>
      <c r="H118" s="8" t="n">
        <v>200</v>
      </c>
      <c r="I118" s="8" t="n">
        <v>0</v>
      </c>
      <c r="J118" s="9" t="n">
        <v>0</v>
      </c>
      <c r="K118" s="4">
        <f>IFERROR(INDEX('02_Employee_Master'!$D:$D,MATCH(A118,'02_Employee_Master'!$A:$A,0)),"")</f>
        <v/>
      </c>
      <c r="L118" s="4">
        <f>IFERROR(INDEX('02_Employee_Master'!$J:$J,MATCH(A118,'02_Employee_Master'!$A:$A,0)),"")</f>
        <v/>
      </c>
    </row>
    <row r="119">
      <c r="A119" s="4" t="inlineStr">
        <is>
          <t>E118</t>
        </is>
      </c>
      <c r="B119" s="4" t="inlineStr">
        <is>
          <t>C023</t>
        </is>
      </c>
      <c r="C119" s="8" t="n">
        <v>121289</v>
      </c>
      <c r="D119" s="8" t="n">
        <v>107961</v>
      </c>
      <c r="E119" s="8" t="n">
        <v>107961</v>
      </c>
      <c r="F119" s="8" t="n">
        <v>9489</v>
      </c>
      <c r="G119" s="8" t="n">
        <v>0</v>
      </c>
      <c r="H119" s="8" t="n">
        <v>200</v>
      </c>
      <c r="I119" s="8" t="n">
        <v>3639</v>
      </c>
      <c r="J119" s="9" t="n">
        <v>0</v>
      </c>
      <c r="K119" s="4">
        <f>IFERROR(INDEX('02_Employee_Master'!$D:$D,MATCH(A119,'02_Employee_Master'!$A:$A,0)),"")</f>
        <v/>
      </c>
      <c r="L119" s="4">
        <f>IFERROR(INDEX('02_Employee_Master'!$J:$J,MATCH(A119,'02_Employee_Master'!$A:$A,0)),"")</f>
        <v/>
      </c>
    </row>
    <row r="120">
      <c r="A120" s="4" t="inlineStr">
        <is>
          <t>E119</t>
        </is>
      </c>
      <c r="B120" s="4" t="inlineStr">
        <is>
          <t>C022</t>
        </is>
      </c>
      <c r="C120" s="8" t="n">
        <v>141257</v>
      </c>
      <c r="D120" s="8" t="n">
        <v>126171</v>
      </c>
      <c r="E120" s="8" t="n">
        <v>126171</v>
      </c>
      <c r="F120" s="8" t="n">
        <v>10648</v>
      </c>
      <c r="G120" s="8" t="n">
        <v>0</v>
      </c>
      <c r="H120" s="8" t="n">
        <v>200</v>
      </c>
      <c r="I120" s="8" t="n">
        <v>4238</v>
      </c>
      <c r="J120" s="9" t="n">
        <v>0</v>
      </c>
      <c r="K120" s="4">
        <f>IFERROR(INDEX('02_Employee_Master'!$D:$D,MATCH(A120,'02_Employee_Master'!$A:$A,0)),"")</f>
        <v/>
      </c>
      <c r="L120" s="4">
        <f>IFERROR(INDEX('02_Employee_Master'!$J:$J,MATCH(A120,'02_Employee_Master'!$A:$A,0)),"")</f>
        <v/>
      </c>
    </row>
    <row r="121">
      <c r="A121" s="4" t="inlineStr">
        <is>
          <t>E120</t>
        </is>
      </c>
      <c r="B121" s="4" t="inlineStr">
        <is>
          <t>C048</t>
        </is>
      </c>
      <c r="C121" s="8" t="n">
        <v>28051</v>
      </c>
      <c r="D121" s="8" t="n">
        <v>26023</v>
      </c>
      <c r="E121" s="8" t="n">
        <v>25996</v>
      </c>
      <c r="F121" s="8" t="n">
        <v>1828</v>
      </c>
      <c r="G121" s="8" t="n">
        <v>0</v>
      </c>
      <c r="H121" s="8" t="n">
        <v>200</v>
      </c>
      <c r="I121" s="8" t="n">
        <v>0</v>
      </c>
      <c r="J121" s="9" t="n">
        <v>-27</v>
      </c>
      <c r="K121" s="4">
        <f>IFERROR(INDEX('02_Employee_Master'!$D:$D,MATCH(A121,'02_Employee_Master'!$A:$A,0)),"")</f>
        <v/>
      </c>
      <c r="L121" s="4">
        <f>IFERROR(INDEX('02_Employee_Master'!$J:$J,MATCH(A121,'02_Employee_Master'!$A:$A,0)),"")</f>
        <v/>
      </c>
    </row>
    <row r="122">
      <c r="A122" s="4" t="inlineStr">
        <is>
          <t>E121</t>
        </is>
      </c>
      <c r="B122" s="4" t="inlineStr">
        <is>
          <t>C041</t>
        </is>
      </c>
      <c r="C122" s="8" t="n">
        <v>115795</v>
      </c>
      <c r="D122" s="8" t="n">
        <v>103748</v>
      </c>
      <c r="E122" s="8" t="n">
        <v>103748</v>
      </c>
      <c r="F122" s="8" t="n">
        <v>8373</v>
      </c>
      <c r="G122" s="8" t="n">
        <v>0</v>
      </c>
      <c r="H122" s="8" t="n">
        <v>200</v>
      </c>
      <c r="I122" s="8" t="n">
        <v>3474</v>
      </c>
      <c r="J122" s="9" t="n">
        <v>0</v>
      </c>
      <c r="K122" s="4">
        <f>IFERROR(INDEX('02_Employee_Master'!$D:$D,MATCH(A122,'02_Employee_Master'!$A:$A,0)),"")</f>
        <v/>
      </c>
      <c r="L122" s="4">
        <f>IFERROR(INDEX('02_Employee_Master'!$J:$J,MATCH(A122,'02_Employee_Master'!$A:$A,0)),"")</f>
        <v/>
      </c>
    </row>
    <row r="123">
      <c r="A123" s="4" t="inlineStr">
        <is>
          <t>E122</t>
        </is>
      </c>
      <c r="B123" s="4" t="inlineStr">
        <is>
          <t>C050</t>
        </is>
      </c>
      <c r="C123" s="8" t="n">
        <v>52618</v>
      </c>
      <c r="D123" s="8" t="n">
        <v>48940</v>
      </c>
      <c r="E123" s="8" t="n">
        <v>48940</v>
      </c>
      <c r="F123" s="8" t="n">
        <v>3478</v>
      </c>
      <c r="G123" s="8" t="n">
        <v>0</v>
      </c>
      <c r="H123" s="8" t="n">
        <v>200</v>
      </c>
      <c r="I123" s="8" t="n">
        <v>0</v>
      </c>
      <c r="J123" s="9" t="n">
        <v>0</v>
      </c>
      <c r="K123" s="4">
        <f>IFERROR(INDEX('02_Employee_Master'!$D:$D,MATCH(A123,'02_Employee_Master'!$A:$A,0)),"")</f>
        <v/>
      </c>
      <c r="L123" s="4">
        <f>IFERROR(INDEX('02_Employee_Master'!$J:$J,MATCH(A123,'02_Employee_Master'!$A:$A,0)),"")</f>
        <v/>
      </c>
    </row>
    <row r="124">
      <c r="A124" s="4" t="inlineStr">
        <is>
          <t>E123</t>
        </is>
      </c>
      <c r="B124" s="4" t="inlineStr">
        <is>
          <t>C006</t>
        </is>
      </c>
      <c r="C124" s="8" t="n">
        <v>78309</v>
      </c>
      <c r="D124" s="8" t="n">
        <v>70516</v>
      </c>
      <c r="E124" s="8" t="n">
        <v>70438</v>
      </c>
      <c r="F124" s="8" t="n">
        <v>5942</v>
      </c>
      <c r="G124" s="8" t="n">
        <v>0</v>
      </c>
      <c r="H124" s="8" t="n">
        <v>200</v>
      </c>
      <c r="I124" s="8" t="n">
        <v>0</v>
      </c>
      <c r="J124" s="9" t="n">
        <v>-78</v>
      </c>
      <c r="K124" s="4">
        <f>IFERROR(INDEX('02_Employee_Master'!$D:$D,MATCH(A124,'02_Employee_Master'!$A:$A,0)),"")</f>
        <v/>
      </c>
      <c r="L124" s="4">
        <f>IFERROR(INDEX('02_Employee_Master'!$J:$J,MATCH(A124,'02_Employee_Master'!$A:$A,0)),"")</f>
        <v/>
      </c>
    </row>
    <row r="125">
      <c r="A125" s="4" t="inlineStr">
        <is>
          <t>E124</t>
        </is>
      </c>
      <c r="B125" s="4" t="inlineStr">
        <is>
          <t>C043</t>
        </is>
      </c>
      <c r="C125" s="8" t="n">
        <v>105299</v>
      </c>
      <c r="D125" s="8" t="n">
        <v>93416</v>
      </c>
      <c r="E125" s="8" t="n">
        <v>93416</v>
      </c>
      <c r="F125" s="8" t="n">
        <v>8524</v>
      </c>
      <c r="G125" s="8" t="n">
        <v>0</v>
      </c>
      <c r="H125" s="8" t="n">
        <v>200</v>
      </c>
      <c r="I125" s="8" t="n">
        <v>3159</v>
      </c>
      <c r="J125" s="9" t="n">
        <v>0</v>
      </c>
      <c r="K125" s="4">
        <f>IFERROR(INDEX('02_Employee_Master'!$D:$D,MATCH(A125,'02_Employee_Master'!$A:$A,0)),"")</f>
        <v/>
      </c>
      <c r="L125" s="4">
        <f>IFERROR(INDEX('02_Employee_Master'!$J:$J,MATCH(A125,'02_Employee_Master'!$A:$A,0)),"")</f>
        <v/>
      </c>
    </row>
    <row r="126">
      <c r="A126" s="4" t="inlineStr">
        <is>
          <t>E125</t>
        </is>
      </c>
      <c r="B126" s="4" t="inlineStr">
        <is>
          <t>C003</t>
        </is>
      </c>
      <c r="C126" s="8" t="n">
        <v>112795</v>
      </c>
      <c r="D126" s="8" t="n">
        <v>97919</v>
      </c>
      <c r="E126" s="8" t="n">
        <v>97919</v>
      </c>
      <c r="F126" s="8" t="n">
        <v>8837</v>
      </c>
      <c r="G126" s="8" t="n">
        <v>0</v>
      </c>
      <c r="H126" s="8" t="n">
        <v>200</v>
      </c>
      <c r="I126" s="8" t="n">
        <v>3384</v>
      </c>
      <c r="J126" s="9" t="n">
        <v>0</v>
      </c>
      <c r="K126" s="4">
        <f>IFERROR(INDEX('02_Employee_Master'!$D:$D,MATCH(A126,'02_Employee_Master'!$A:$A,0)),"")</f>
        <v/>
      </c>
      <c r="L126" s="4">
        <f>IFERROR(INDEX('02_Employee_Master'!$J:$J,MATCH(A126,'02_Employee_Master'!$A:$A,0)),"")</f>
        <v/>
      </c>
    </row>
    <row r="127">
      <c r="A127" s="4" t="inlineStr">
        <is>
          <t>E126</t>
        </is>
      </c>
      <c r="B127" s="4" t="inlineStr">
        <is>
          <t>C028</t>
        </is>
      </c>
      <c r="C127" s="8" t="n">
        <v>127383</v>
      </c>
      <c r="D127" s="8" t="n">
        <v>113350</v>
      </c>
      <c r="E127" s="8" t="n">
        <v>113350</v>
      </c>
      <c r="F127" s="8" t="n">
        <v>10012</v>
      </c>
      <c r="G127" s="8" t="n">
        <v>0</v>
      </c>
      <c r="H127" s="8" t="n">
        <v>200</v>
      </c>
      <c r="I127" s="8" t="n">
        <v>3821</v>
      </c>
      <c r="J127" s="9" t="n">
        <v>0</v>
      </c>
      <c r="K127" s="4">
        <f>IFERROR(INDEX('02_Employee_Master'!$D:$D,MATCH(A127,'02_Employee_Master'!$A:$A,0)),"")</f>
        <v/>
      </c>
      <c r="L127" s="4">
        <f>IFERROR(INDEX('02_Employee_Master'!$J:$J,MATCH(A127,'02_Employee_Master'!$A:$A,0)),"")</f>
        <v/>
      </c>
    </row>
    <row r="128">
      <c r="A128" s="4" t="inlineStr">
        <is>
          <t>E127</t>
        </is>
      </c>
      <c r="B128" s="4" t="inlineStr">
        <is>
          <t>C004</t>
        </is>
      </c>
      <c r="C128" s="8" t="n">
        <v>89520</v>
      </c>
      <c r="D128" s="8" t="n">
        <v>82734</v>
      </c>
      <c r="E128" s="8" t="n">
        <v>82734</v>
      </c>
      <c r="F128" s="8" t="n">
        <v>6586</v>
      </c>
      <c r="G128" s="8" t="n">
        <v>0</v>
      </c>
      <c r="H128" s="8" t="n">
        <v>200</v>
      </c>
      <c r="I128" s="8" t="n">
        <v>0</v>
      </c>
      <c r="J128" s="9" t="n">
        <v>0</v>
      </c>
      <c r="K128" s="4">
        <f>IFERROR(INDEX('02_Employee_Master'!$D:$D,MATCH(A128,'02_Employee_Master'!$A:$A,0)),"")</f>
        <v/>
      </c>
      <c r="L128" s="4">
        <f>IFERROR(INDEX('02_Employee_Master'!$J:$J,MATCH(A128,'02_Employee_Master'!$A:$A,0)),"")</f>
        <v/>
      </c>
    </row>
    <row r="129">
      <c r="A129" s="4" t="inlineStr">
        <is>
          <t>E128</t>
        </is>
      </c>
      <c r="B129" s="4" t="inlineStr">
        <is>
          <t>C008</t>
        </is>
      </c>
      <c r="C129" s="8" t="n">
        <v>43894</v>
      </c>
      <c r="D129" s="8" t="n">
        <v>41045</v>
      </c>
      <c r="E129" s="8" t="n">
        <v>41045</v>
      </c>
      <c r="F129" s="8" t="n">
        <v>2649</v>
      </c>
      <c r="G129" s="8" t="n">
        <v>0</v>
      </c>
      <c r="H129" s="8" t="n">
        <v>200</v>
      </c>
      <c r="I129" s="8" t="n">
        <v>0</v>
      </c>
      <c r="J129" s="9" t="n">
        <v>0</v>
      </c>
      <c r="K129" s="4">
        <f>IFERROR(INDEX('02_Employee_Master'!$D:$D,MATCH(A129,'02_Employee_Master'!$A:$A,0)),"")</f>
        <v/>
      </c>
      <c r="L129" s="4">
        <f>IFERROR(INDEX('02_Employee_Master'!$J:$J,MATCH(A129,'02_Employee_Master'!$A:$A,0)),"")</f>
        <v/>
      </c>
    </row>
    <row r="130">
      <c r="A130" s="4" t="inlineStr">
        <is>
          <t>E129</t>
        </is>
      </c>
      <c r="B130" s="4" t="inlineStr">
        <is>
          <t>C043</t>
        </is>
      </c>
      <c r="C130" s="8" t="n">
        <v>66886</v>
      </c>
      <c r="D130" s="8" t="n">
        <v>62403</v>
      </c>
      <c r="E130" s="8" t="n">
        <v>62403</v>
      </c>
      <c r="F130" s="8" t="n">
        <v>4283</v>
      </c>
      <c r="G130" s="8" t="n">
        <v>0</v>
      </c>
      <c r="H130" s="8" t="n">
        <v>200</v>
      </c>
      <c r="I130" s="8" t="n">
        <v>0</v>
      </c>
      <c r="J130" s="9" t="n">
        <v>0</v>
      </c>
      <c r="K130" s="4">
        <f>IFERROR(INDEX('02_Employee_Master'!$D:$D,MATCH(A130,'02_Employee_Master'!$A:$A,0)),"")</f>
        <v/>
      </c>
      <c r="L130" s="4">
        <f>IFERROR(INDEX('02_Employee_Master'!$J:$J,MATCH(A130,'02_Employee_Master'!$A:$A,0)),"")</f>
        <v/>
      </c>
    </row>
    <row r="131">
      <c r="A131" s="4" t="inlineStr">
        <is>
          <t>E130</t>
        </is>
      </c>
      <c r="B131" s="4" t="inlineStr">
        <is>
          <t>C012</t>
        </is>
      </c>
      <c r="C131" s="8" t="n">
        <v>108316</v>
      </c>
      <c r="D131" s="8" t="n">
        <v>96404</v>
      </c>
      <c r="E131" s="8" t="n">
        <v>96404</v>
      </c>
      <c r="F131" s="8" t="n">
        <v>8463</v>
      </c>
      <c r="G131" s="8" t="n">
        <v>0</v>
      </c>
      <c r="H131" s="8" t="n">
        <v>200</v>
      </c>
      <c r="I131" s="8" t="n">
        <v>3249</v>
      </c>
      <c r="J131" s="9" t="n">
        <v>0</v>
      </c>
      <c r="K131" s="4">
        <f>IFERROR(INDEX('02_Employee_Master'!$D:$D,MATCH(A131,'02_Employee_Master'!$A:$A,0)),"")</f>
        <v/>
      </c>
      <c r="L131" s="4">
        <f>IFERROR(INDEX('02_Employee_Master'!$J:$J,MATCH(A131,'02_Employee_Master'!$A:$A,0)),"")</f>
        <v/>
      </c>
    </row>
    <row r="132">
      <c r="A132" s="4" t="inlineStr">
        <is>
          <t>E131</t>
        </is>
      </c>
      <c r="B132" s="4" t="inlineStr">
        <is>
          <t>C013</t>
        </is>
      </c>
      <c r="C132" s="8" t="n">
        <v>115828</v>
      </c>
      <c r="D132" s="8" t="n">
        <v>103291</v>
      </c>
      <c r="E132" s="8" t="n">
        <v>103291</v>
      </c>
      <c r="F132" s="8" t="n">
        <v>8862</v>
      </c>
      <c r="G132" s="8" t="n">
        <v>0</v>
      </c>
      <c r="H132" s="8" t="n">
        <v>200</v>
      </c>
      <c r="I132" s="8" t="n">
        <v>3475</v>
      </c>
      <c r="J132" s="9" t="n">
        <v>0</v>
      </c>
      <c r="K132" s="4">
        <f>IFERROR(INDEX('02_Employee_Master'!$D:$D,MATCH(A132,'02_Employee_Master'!$A:$A,0)),"")</f>
        <v/>
      </c>
      <c r="L132" s="4">
        <f>IFERROR(INDEX('02_Employee_Master'!$J:$J,MATCH(A132,'02_Employee_Master'!$A:$A,0)),"")</f>
        <v/>
      </c>
    </row>
    <row r="133">
      <c r="A133" s="4" t="inlineStr">
        <is>
          <t>E132</t>
        </is>
      </c>
      <c r="B133" s="4" t="inlineStr">
        <is>
          <t>C003</t>
        </is>
      </c>
      <c r="C133" s="8" t="n">
        <v>91054</v>
      </c>
      <c r="D133" s="8" t="n">
        <v>83979</v>
      </c>
      <c r="E133" s="8" t="n">
        <v>83979</v>
      </c>
      <c r="F133" s="8" t="n">
        <v>6875</v>
      </c>
      <c r="G133" s="8" t="n">
        <v>0</v>
      </c>
      <c r="H133" s="8" t="n">
        <v>200</v>
      </c>
      <c r="I133" s="8" t="n">
        <v>0</v>
      </c>
      <c r="J133" s="9" t="n">
        <v>0</v>
      </c>
      <c r="K133" s="4">
        <f>IFERROR(INDEX('02_Employee_Master'!$D:$D,MATCH(A133,'02_Employee_Master'!$A:$A,0)),"")</f>
        <v/>
      </c>
      <c r="L133" s="4">
        <f>IFERROR(INDEX('02_Employee_Master'!$J:$J,MATCH(A133,'02_Employee_Master'!$A:$A,0)),"")</f>
        <v/>
      </c>
    </row>
    <row r="134">
      <c r="A134" s="4" t="inlineStr">
        <is>
          <t>E133</t>
        </is>
      </c>
      <c r="B134" s="4" t="inlineStr">
        <is>
          <t>C050</t>
        </is>
      </c>
      <c r="C134" s="8" t="n">
        <v>52336</v>
      </c>
      <c r="D134" s="8" t="n">
        <v>48007</v>
      </c>
      <c r="E134" s="8" t="n">
        <v>48007</v>
      </c>
      <c r="F134" s="8" t="n">
        <v>4129</v>
      </c>
      <c r="G134" s="8" t="n">
        <v>0</v>
      </c>
      <c r="H134" s="8" t="n">
        <v>200</v>
      </c>
      <c r="I134" s="8" t="n">
        <v>0</v>
      </c>
      <c r="J134" s="9" t="n">
        <v>0</v>
      </c>
      <c r="K134" s="4">
        <f>IFERROR(INDEX('02_Employee_Master'!$D:$D,MATCH(A134,'02_Employee_Master'!$A:$A,0)),"")</f>
        <v/>
      </c>
      <c r="L134" s="4">
        <f>IFERROR(INDEX('02_Employee_Master'!$J:$J,MATCH(A134,'02_Employee_Master'!$A:$A,0)),"")</f>
        <v/>
      </c>
    </row>
    <row r="135">
      <c r="A135" s="4" t="inlineStr">
        <is>
          <t>E134</t>
        </is>
      </c>
      <c r="B135" s="4" t="inlineStr">
        <is>
          <t>C041</t>
        </is>
      </c>
      <c r="C135" s="8" t="n">
        <v>119015</v>
      </c>
      <c r="D135" s="8" t="n">
        <v>104080</v>
      </c>
      <c r="E135" s="8" t="n">
        <v>104080</v>
      </c>
      <c r="F135" s="8" t="n">
        <v>8738</v>
      </c>
      <c r="G135" s="8" t="n">
        <v>0</v>
      </c>
      <c r="H135" s="8" t="n">
        <v>200</v>
      </c>
      <c r="I135" s="8" t="n">
        <v>3570</v>
      </c>
      <c r="J135" s="9" t="n">
        <v>0</v>
      </c>
      <c r="K135" s="4">
        <f>IFERROR(INDEX('02_Employee_Master'!$D:$D,MATCH(A135,'02_Employee_Master'!$A:$A,0)),"")</f>
        <v/>
      </c>
      <c r="L135" s="4">
        <f>IFERROR(INDEX('02_Employee_Master'!$J:$J,MATCH(A135,'02_Employee_Master'!$A:$A,0)),"")</f>
        <v/>
      </c>
    </row>
    <row r="136">
      <c r="A136" s="4" t="inlineStr">
        <is>
          <t>E135</t>
        </is>
      </c>
      <c r="B136" s="4" t="inlineStr">
        <is>
          <t>C037</t>
        </is>
      </c>
      <c r="C136" s="8" t="n">
        <v>82947</v>
      </c>
      <c r="D136" s="8" t="n">
        <v>76648</v>
      </c>
      <c r="E136" s="8" t="n">
        <v>76648</v>
      </c>
      <c r="F136" s="8" t="n">
        <v>6099</v>
      </c>
      <c r="G136" s="8" t="n">
        <v>0</v>
      </c>
      <c r="H136" s="8" t="n">
        <v>200</v>
      </c>
      <c r="I136" s="8" t="n">
        <v>0</v>
      </c>
      <c r="J136" s="9" t="n">
        <v>0</v>
      </c>
      <c r="K136" s="4">
        <f>IFERROR(INDEX('02_Employee_Master'!$D:$D,MATCH(A136,'02_Employee_Master'!$A:$A,0)),"")</f>
        <v/>
      </c>
      <c r="L136" s="4">
        <f>IFERROR(INDEX('02_Employee_Master'!$J:$J,MATCH(A136,'02_Employee_Master'!$A:$A,0)),"")</f>
        <v/>
      </c>
    </row>
    <row r="137">
      <c r="A137" s="4" t="inlineStr">
        <is>
          <t>E136</t>
        </is>
      </c>
      <c r="B137" s="4" t="inlineStr">
        <is>
          <t>C023</t>
        </is>
      </c>
      <c r="C137" s="8" t="n">
        <v>67122</v>
      </c>
      <c r="D137" s="8" t="n">
        <v>62241</v>
      </c>
      <c r="E137" s="8" t="n">
        <v>62241</v>
      </c>
      <c r="F137" s="8" t="n">
        <v>4681</v>
      </c>
      <c r="G137" s="8" t="n">
        <v>0</v>
      </c>
      <c r="H137" s="8" t="n">
        <v>200</v>
      </c>
      <c r="I137" s="8" t="n">
        <v>0</v>
      </c>
      <c r="J137" s="9" t="n">
        <v>0</v>
      </c>
      <c r="K137" s="4">
        <f>IFERROR(INDEX('02_Employee_Master'!$D:$D,MATCH(A137,'02_Employee_Master'!$A:$A,0)),"")</f>
        <v/>
      </c>
      <c r="L137" s="4">
        <f>IFERROR(INDEX('02_Employee_Master'!$J:$J,MATCH(A137,'02_Employee_Master'!$A:$A,0)),"")</f>
        <v/>
      </c>
    </row>
    <row r="138">
      <c r="A138" s="4" t="inlineStr">
        <is>
          <t>E137</t>
        </is>
      </c>
      <c r="B138" s="4" t="inlineStr">
        <is>
          <t>C006</t>
        </is>
      </c>
      <c r="C138" s="8" t="n">
        <v>67040</v>
      </c>
      <c r="D138" s="8" t="n">
        <v>61547</v>
      </c>
      <c r="E138" s="8" t="n">
        <v>61492</v>
      </c>
      <c r="F138" s="8" t="n">
        <v>5293</v>
      </c>
      <c r="G138" s="8" t="n">
        <v>0</v>
      </c>
      <c r="H138" s="8" t="n">
        <v>200</v>
      </c>
      <c r="I138" s="8" t="n">
        <v>0</v>
      </c>
      <c r="J138" s="9" t="n">
        <v>-55</v>
      </c>
      <c r="K138" s="4">
        <f>IFERROR(INDEX('02_Employee_Master'!$D:$D,MATCH(A138,'02_Employee_Master'!$A:$A,0)),"")</f>
        <v/>
      </c>
      <c r="L138" s="4">
        <f>IFERROR(INDEX('02_Employee_Master'!$J:$J,MATCH(A138,'02_Employee_Master'!$A:$A,0)),"")</f>
        <v/>
      </c>
    </row>
    <row r="139">
      <c r="A139" s="4" t="inlineStr">
        <is>
          <t>E138</t>
        </is>
      </c>
      <c r="B139" s="4" t="inlineStr">
        <is>
          <t>C021</t>
        </is>
      </c>
      <c r="C139" s="8" t="n">
        <v>80588</v>
      </c>
      <c r="D139" s="8" t="n">
        <v>74726</v>
      </c>
      <c r="E139" s="8" t="n">
        <v>74726</v>
      </c>
      <c r="F139" s="8" t="n">
        <v>5662</v>
      </c>
      <c r="G139" s="8" t="n">
        <v>0</v>
      </c>
      <c r="H139" s="8" t="n">
        <v>200</v>
      </c>
      <c r="I139" s="8" t="n">
        <v>0</v>
      </c>
      <c r="J139" s="9" t="n">
        <v>0</v>
      </c>
      <c r="K139" s="4">
        <f>IFERROR(INDEX('02_Employee_Master'!$D:$D,MATCH(A139,'02_Employee_Master'!$A:$A,0)),"")</f>
        <v/>
      </c>
      <c r="L139" s="4">
        <f>IFERROR(INDEX('02_Employee_Master'!$J:$J,MATCH(A139,'02_Employee_Master'!$A:$A,0)),"")</f>
        <v/>
      </c>
    </row>
    <row r="140">
      <c r="A140" s="4" t="inlineStr">
        <is>
          <t>E139</t>
        </is>
      </c>
      <c r="B140" s="4" t="inlineStr">
        <is>
          <t>C023</t>
        </is>
      </c>
      <c r="C140" s="8" t="n">
        <v>101313</v>
      </c>
      <c r="D140" s="8" t="n">
        <v>90613</v>
      </c>
      <c r="E140" s="8" t="n">
        <v>90613</v>
      </c>
      <c r="F140" s="8" t="n">
        <v>7461</v>
      </c>
      <c r="G140" s="8" t="n">
        <v>0</v>
      </c>
      <c r="H140" s="8" t="n">
        <v>200</v>
      </c>
      <c r="I140" s="8" t="n">
        <v>3039</v>
      </c>
      <c r="J140" s="9" t="n">
        <v>0</v>
      </c>
      <c r="K140" s="4">
        <f>IFERROR(INDEX('02_Employee_Master'!$D:$D,MATCH(A140,'02_Employee_Master'!$A:$A,0)),"")</f>
        <v/>
      </c>
      <c r="L140" s="4">
        <f>IFERROR(INDEX('02_Employee_Master'!$J:$J,MATCH(A140,'02_Employee_Master'!$A:$A,0)),"")</f>
        <v/>
      </c>
    </row>
    <row r="141">
      <c r="A141" s="4" t="inlineStr">
        <is>
          <t>E140</t>
        </is>
      </c>
      <c r="B141" s="4" t="inlineStr">
        <is>
          <t>C004</t>
        </is>
      </c>
      <c r="C141" s="8" t="n">
        <v>52457</v>
      </c>
      <c r="D141" s="8" t="n">
        <v>48764</v>
      </c>
      <c r="E141" s="8" t="n">
        <v>48764</v>
      </c>
      <c r="F141" s="8" t="n">
        <v>3493</v>
      </c>
      <c r="G141" s="8" t="n">
        <v>0</v>
      </c>
      <c r="H141" s="8" t="n">
        <v>200</v>
      </c>
      <c r="I141" s="8" t="n">
        <v>0</v>
      </c>
      <c r="J141" s="9" t="n">
        <v>0</v>
      </c>
      <c r="K141" s="4">
        <f>IFERROR(INDEX('02_Employee_Master'!$D:$D,MATCH(A141,'02_Employee_Master'!$A:$A,0)),"")</f>
        <v/>
      </c>
      <c r="L141" s="4">
        <f>IFERROR(INDEX('02_Employee_Master'!$J:$J,MATCH(A141,'02_Employee_Master'!$A:$A,0)),"")</f>
        <v/>
      </c>
    </row>
    <row r="142">
      <c r="A142" s="4" t="inlineStr">
        <is>
          <t>E141</t>
        </is>
      </c>
      <c r="B142" s="4" t="inlineStr">
        <is>
          <t>C005</t>
        </is>
      </c>
      <c r="C142" s="8" t="n">
        <v>94517</v>
      </c>
      <c r="D142" s="8" t="n">
        <v>87022</v>
      </c>
      <c r="E142" s="8" t="n">
        <v>79727</v>
      </c>
      <c r="F142" s="8" t="n">
        <v>7295</v>
      </c>
      <c r="G142" s="8" t="n">
        <v>0</v>
      </c>
      <c r="H142" s="8" t="n">
        <v>200</v>
      </c>
      <c r="I142" s="8" t="n">
        <v>0</v>
      </c>
      <c r="J142" s="9" t="n">
        <v>-7295</v>
      </c>
      <c r="K142" s="4">
        <f>IFERROR(INDEX('02_Employee_Master'!$D:$D,MATCH(A142,'02_Employee_Master'!$A:$A,0)),"")</f>
        <v/>
      </c>
      <c r="L142" s="4">
        <f>IFERROR(INDEX('02_Employee_Master'!$J:$J,MATCH(A142,'02_Employee_Master'!$A:$A,0)),"")</f>
        <v/>
      </c>
    </row>
    <row r="143">
      <c r="A143" s="4" t="inlineStr">
        <is>
          <t>E142</t>
        </is>
      </c>
      <c r="B143" s="4" t="inlineStr">
        <is>
          <t>C037</t>
        </is>
      </c>
      <c r="C143" s="8" t="n">
        <v>119268</v>
      </c>
      <c r="D143" s="8" t="n">
        <v>103158</v>
      </c>
      <c r="E143" s="8" t="n">
        <v>103158</v>
      </c>
      <c r="F143" s="8" t="n">
        <v>9651</v>
      </c>
      <c r="G143" s="8" t="n">
        <v>0</v>
      </c>
      <c r="H143" s="8" t="n">
        <v>200</v>
      </c>
      <c r="I143" s="8" t="n">
        <v>3578</v>
      </c>
      <c r="J143" s="9" t="n">
        <v>0</v>
      </c>
      <c r="K143" s="4">
        <f>IFERROR(INDEX('02_Employee_Master'!$D:$D,MATCH(A143,'02_Employee_Master'!$A:$A,0)),"")</f>
        <v/>
      </c>
      <c r="L143" s="4">
        <f>IFERROR(INDEX('02_Employee_Master'!$J:$J,MATCH(A143,'02_Employee_Master'!$A:$A,0)),"")</f>
        <v/>
      </c>
    </row>
    <row r="144">
      <c r="A144" s="4" t="inlineStr">
        <is>
          <t>E143</t>
        </is>
      </c>
      <c r="B144" s="4" t="inlineStr">
        <is>
          <t>C014</t>
        </is>
      </c>
      <c r="C144" s="8" t="n">
        <v>56078</v>
      </c>
      <c r="D144" s="8" t="n">
        <v>51491</v>
      </c>
      <c r="E144" s="8" t="n">
        <v>51491</v>
      </c>
      <c r="F144" s="8" t="n">
        <v>4387</v>
      </c>
      <c r="G144" s="8" t="n">
        <v>0</v>
      </c>
      <c r="H144" s="8" t="n">
        <v>200</v>
      </c>
      <c r="I144" s="8" t="n">
        <v>0</v>
      </c>
      <c r="J144" s="9" t="n">
        <v>0</v>
      </c>
      <c r="K144" s="4">
        <f>IFERROR(INDEX('02_Employee_Master'!$D:$D,MATCH(A144,'02_Employee_Master'!$A:$A,0)),"")</f>
        <v/>
      </c>
      <c r="L144" s="4">
        <f>IFERROR(INDEX('02_Employee_Master'!$J:$J,MATCH(A144,'02_Employee_Master'!$A:$A,0)),"")</f>
        <v/>
      </c>
    </row>
    <row r="145">
      <c r="A145" s="4" t="inlineStr">
        <is>
          <t>E144</t>
        </is>
      </c>
      <c r="B145" s="4" t="inlineStr">
        <is>
          <t>C024</t>
        </is>
      </c>
      <c r="C145" s="8" t="n">
        <v>46208</v>
      </c>
      <c r="D145" s="8" t="n">
        <v>42327</v>
      </c>
      <c r="E145" s="8" t="n">
        <v>42327</v>
      </c>
      <c r="F145" s="8" t="n">
        <v>3681</v>
      </c>
      <c r="G145" s="8" t="n">
        <v>0</v>
      </c>
      <c r="H145" s="8" t="n">
        <v>200</v>
      </c>
      <c r="I145" s="8" t="n">
        <v>0</v>
      </c>
      <c r="J145" s="9" t="n">
        <v>0</v>
      </c>
      <c r="K145" s="4">
        <f>IFERROR(INDEX('02_Employee_Master'!$D:$D,MATCH(A145,'02_Employee_Master'!$A:$A,0)),"")</f>
        <v/>
      </c>
      <c r="L145" s="4">
        <f>IFERROR(INDEX('02_Employee_Master'!$J:$J,MATCH(A145,'02_Employee_Master'!$A:$A,0)),"")</f>
        <v/>
      </c>
    </row>
    <row r="146">
      <c r="A146" s="4" t="inlineStr">
        <is>
          <t>E145</t>
        </is>
      </c>
      <c r="B146" s="4" t="inlineStr">
        <is>
          <t>C043</t>
        </is>
      </c>
      <c r="C146" s="8" t="n">
        <v>71025</v>
      </c>
      <c r="D146" s="8" t="n">
        <v>65699</v>
      </c>
      <c r="E146" s="8" t="n">
        <v>65699</v>
      </c>
      <c r="F146" s="8" t="n">
        <v>5126</v>
      </c>
      <c r="G146" s="8" t="n">
        <v>0</v>
      </c>
      <c r="H146" s="8" t="n">
        <v>200</v>
      </c>
      <c r="I146" s="8" t="n">
        <v>0</v>
      </c>
      <c r="J146" s="9" t="n">
        <v>0</v>
      </c>
      <c r="K146" s="4">
        <f>IFERROR(INDEX('02_Employee_Master'!$D:$D,MATCH(A146,'02_Employee_Master'!$A:$A,0)),"")</f>
        <v/>
      </c>
      <c r="L146" s="4">
        <f>IFERROR(INDEX('02_Employee_Master'!$J:$J,MATCH(A146,'02_Employee_Master'!$A:$A,0)),"")</f>
        <v/>
      </c>
    </row>
    <row r="147">
      <c r="A147" s="4" t="inlineStr">
        <is>
          <t>E146</t>
        </is>
      </c>
      <c r="B147" s="4" t="inlineStr">
        <is>
          <t>C024</t>
        </is>
      </c>
      <c r="C147" s="8" t="n">
        <v>78751</v>
      </c>
      <c r="D147" s="8" t="n">
        <v>74044</v>
      </c>
      <c r="E147" s="8" t="n">
        <v>74044</v>
      </c>
      <c r="F147" s="8" t="n">
        <v>4507</v>
      </c>
      <c r="G147" s="8" t="n">
        <v>0</v>
      </c>
      <c r="H147" s="8" t="n">
        <v>200</v>
      </c>
      <c r="I147" s="8" t="n">
        <v>0</v>
      </c>
      <c r="J147" s="9" t="n">
        <v>0</v>
      </c>
      <c r="K147" s="4">
        <f>IFERROR(INDEX('02_Employee_Master'!$D:$D,MATCH(A147,'02_Employee_Master'!$A:$A,0)),"")</f>
        <v/>
      </c>
      <c r="L147" s="4">
        <f>IFERROR(INDEX('02_Employee_Master'!$J:$J,MATCH(A147,'02_Employee_Master'!$A:$A,0)),"")</f>
        <v/>
      </c>
    </row>
    <row r="148">
      <c r="A148" s="4" t="inlineStr">
        <is>
          <t>E147</t>
        </is>
      </c>
      <c r="B148" s="4" t="inlineStr">
        <is>
          <t>C012</t>
        </is>
      </c>
      <c r="C148" s="8" t="n">
        <v>95676</v>
      </c>
      <c r="D148" s="8" t="n">
        <v>88527</v>
      </c>
      <c r="E148" s="8" t="n">
        <v>88527</v>
      </c>
      <c r="F148" s="8" t="n">
        <v>6949</v>
      </c>
      <c r="G148" s="8" t="n">
        <v>0</v>
      </c>
      <c r="H148" s="8" t="n">
        <v>200</v>
      </c>
      <c r="I148" s="8" t="n">
        <v>0</v>
      </c>
      <c r="J148" s="9" t="n">
        <v>0</v>
      </c>
      <c r="K148" s="4">
        <f>IFERROR(INDEX('02_Employee_Master'!$D:$D,MATCH(A148,'02_Employee_Master'!$A:$A,0)),"")</f>
        <v/>
      </c>
      <c r="L148" s="4">
        <f>IFERROR(INDEX('02_Employee_Master'!$J:$J,MATCH(A148,'02_Employee_Master'!$A:$A,0)),"")</f>
        <v/>
      </c>
    </row>
    <row r="149">
      <c r="A149" s="4" t="inlineStr">
        <is>
          <t>E148</t>
        </is>
      </c>
      <c r="B149" s="4" t="inlineStr">
        <is>
          <t>C048</t>
        </is>
      </c>
      <c r="C149" s="8" t="n">
        <v>75322</v>
      </c>
      <c r="D149" s="8" t="n">
        <v>69470</v>
      </c>
      <c r="E149" s="8" t="n">
        <v>69386</v>
      </c>
      <c r="F149" s="8" t="n">
        <v>5652</v>
      </c>
      <c r="G149" s="8" t="n">
        <v>0</v>
      </c>
      <c r="H149" s="8" t="n">
        <v>200</v>
      </c>
      <c r="I149" s="8" t="n">
        <v>0</v>
      </c>
      <c r="J149" s="9" t="n">
        <v>-84</v>
      </c>
      <c r="K149" s="4">
        <f>IFERROR(INDEX('02_Employee_Master'!$D:$D,MATCH(A149,'02_Employee_Master'!$A:$A,0)),"")</f>
        <v/>
      </c>
      <c r="L149" s="4">
        <f>IFERROR(INDEX('02_Employee_Master'!$J:$J,MATCH(A149,'02_Employee_Master'!$A:$A,0)),"")</f>
        <v/>
      </c>
    </row>
    <row r="150">
      <c r="A150" s="4" t="inlineStr">
        <is>
          <t>E149</t>
        </is>
      </c>
      <c r="B150" s="4" t="inlineStr">
        <is>
          <t>C026</t>
        </is>
      </c>
      <c r="C150" s="8" t="n">
        <v>46095</v>
      </c>
      <c r="D150" s="8" t="n">
        <v>42740</v>
      </c>
      <c r="E150" s="8" t="n">
        <v>42740</v>
      </c>
      <c r="F150" s="8" t="n">
        <v>3155</v>
      </c>
      <c r="G150" s="8" t="n">
        <v>0</v>
      </c>
      <c r="H150" s="8" t="n">
        <v>200</v>
      </c>
      <c r="I150" s="8" t="n">
        <v>0</v>
      </c>
      <c r="J150" s="9" t="n">
        <v>0</v>
      </c>
      <c r="K150" s="4">
        <f>IFERROR(INDEX('02_Employee_Master'!$D:$D,MATCH(A150,'02_Employee_Master'!$A:$A,0)),"")</f>
        <v/>
      </c>
      <c r="L150" s="4">
        <f>IFERROR(INDEX('02_Employee_Master'!$J:$J,MATCH(A150,'02_Employee_Master'!$A:$A,0)),"")</f>
        <v/>
      </c>
    </row>
    <row r="151">
      <c r="A151" s="4" t="inlineStr">
        <is>
          <t>E150</t>
        </is>
      </c>
      <c r="B151" s="4" t="inlineStr">
        <is>
          <t>C003</t>
        </is>
      </c>
      <c r="C151" s="8" t="n">
        <v>67437</v>
      </c>
      <c r="D151" s="8" t="n">
        <v>62682</v>
      </c>
      <c r="E151" s="8" t="n">
        <v>62682</v>
      </c>
      <c r="F151" s="8" t="n">
        <v>4555</v>
      </c>
      <c r="G151" s="8" t="n">
        <v>0</v>
      </c>
      <c r="H151" s="8" t="n">
        <v>200</v>
      </c>
      <c r="I151" s="8" t="n">
        <v>0</v>
      </c>
      <c r="J151" s="9" t="n">
        <v>0</v>
      </c>
      <c r="K151" s="4">
        <f>IFERROR(INDEX('02_Employee_Master'!$D:$D,MATCH(A151,'02_Employee_Master'!$A:$A,0)),"")</f>
        <v/>
      </c>
      <c r="L151" s="4">
        <f>IFERROR(INDEX('02_Employee_Master'!$J:$J,MATCH(A151,'02_Employee_Master'!$A:$A,0)),"")</f>
        <v/>
      </c>
    </row>
    <row r="152">
      <c r="A152" s="4" t="inlineStr">
        <is>
          <t>E151</t>
        </is>
      </c>
      <c r="B152" s="4" t="inlineStr">
        <is>
          <t>C035</t>
        </is>
      </c>
      <c r="C152" s="8" t="n">
        <v>60719</v>
      </c>
      <c r="D152" s="8" t="n">
        <v>55376</v>
      </c>
      <c r="E152" s="8" t="n">
        <v>55376</v>
      </c>
      <c r="F152" s="8" t="n">
        <v>4025</v>
      </c>
      <c r="G152" s="8" t="n">
        <v>0</v>
      </c>
      <c r="H152" s="8" t="n">
        <v>200</v>
      </c>
      <c r="I152" s="8" t="n">
        <v>0</v>
      </c>
      <c r="J152" s="9" t="n">
        <v>0</v>
      </c>
      <c r="K152" s="4">
        <f>IFERROR(INDEX('02_Employee_Master'!$D:$D,MATCH(A152,'02_Employee_Master'!$A:$A,0)),"")</f>
        <v/>
      </c>
      <c r="L152" s="4">
        <f>IFERROR(INDEX('02_Employee_Master'!$J:$J,MATCH(A152,'02_Employee_Master'!$A:$A,0)),"")</f>
        <v/>
      </c>
    </row>
    <row r="153">
      <c r="A153" s="4" t="inlineStr">
        <is>
          <t>E152</t>
        </is>
      </c>
      <c r="B153" s="4" t="inlineStr">
        <is>
          <t>C041</t>
        </is>
      </c>
      <c r="C153" s="8" t="n">
        <v>79633</v>
      </c>
      <c r="D153" s="8" t="n">
        <v>72884</v>
      </c>
      <c r="E153" s="8" t="n">
        <v>72884</v>
      </c>
      <c r="F153" s="8" t="n">
        <v>6549</v>
      </c>
      <c r="G153" s="8" t="n">
        <v>0</v>
      </c>
      <c r="H153" s="8" t="n">
        <v>200</v>
      </c>
      <c r="I153" s="8" t="n">
        <v>0</v>
      </c>
      <c r="J153" s="9" t="n">
        <v>0</v>
      </c>
      <c r="K153" s="4">
        <f>IFERROR(INDEX('02_Employee_Master'!$D:$D,MATCH(A153,'02_Employee_Master'!$A:$A,0)),"")</f>
        <v/>
      </c>
      <c r="L153" s="4">
        <f>IFERROR(INDEX('02_Employee_Master'!$J:$J,MATCH(A153,'02_Employee_Master'!$A:$A,0)),"")</f>
        <v/>
      </c>
    </row>
    <row r="154">
      <c r="A154" s="4" t="inlineStr">
        <is>
          <t>E153</t>
        </is>
      </c>
      <c r="B154" s="4" t="inlineStr">
        <is>
          <t>C014</t>
        </is>
      </c>
      <c r="C154" s="8" t="n">
        <v>58135</v>
      </c>
      <c r="D154" s="8" t="n">
        <v>53776</v>
      </c>
      <c r="E154" s="8" t="n">
        <v>53776</v>
      </c>
      <c r="F154" s="8" t="n">
        <v>4159</v>
      </c>
      <c r="G154" s="8" t="n">
        <v>0</v>
      </c>
      <c r="H154" s="8" t="n">
        <v>200</v>
      </c>
      <c r="I154" s="8" t="n">
        <v>0</v>
      </c>
      <c r="J154" s="9" t="n">
        <v>0</v>
      </c>
      <c r="K154" s="4">
        <f>IFERROR(INDEX('02_Employee_Master'!$D:$D,MATCH(A154,'02_Employee_Master'!$A:$A,0)),"")</f>
        <v/>
      </c>
      <c r="L154" s="4">
        <f>IFERROR(INDEX('02_Employee_Master'!$J:$J,MATCH(A154,'02_Employee_Master'!$A:$A,0)),"")</f>
        <v/>
      </c>
    </row>
    <row r="155">
      <c r="A155" s="4" t="inlineStr">
        <is>
          <t>E154</t>
        </is>
      </c>
      <c r="B155" s="4" t="inlineStr">
        <is>
          <t>C021</t>
        </is>
      </c>
      <c r="C155" s="8" t="n">
        <v>75575</v>
      </c>
      <c r="D155" s="8" t="n">
        <v>70155</v>
      </c>
      <c r="E155" s="8" t="n">
        <v>70155</v>
      </c>
      <c r="F155" s="8" t="n">
        <v>5220</v>
      </c>
      <c r="G155" s="8" t="n">
        <v>0</v>
      </c>
      <c r="H155" s="8" t="n">
        <v>200</v>
      </c>
      <c r="I155" s="8" t="n">
        <v>0</v>
      </c>
      <c r="J155" s="9" t="n">
        <v>0</v>
      </c>
      <c r="K155" s="4">
        <f>IFERROR(INDEX('02_Employee_Master'!$D:$D,MATCH(A155,'02_Employee_Master'!$A:$A,0)),"")</f>
        <v/>
      </c>
      <c r="L155" s="4">
        <f>IFERROR(INDEX('02_Employee_Master'!$J:$J,MATCH(A155,'02_Employee_Master'!$A:$A,0)),"")</f>
        <v/>
      </c>
    </row>
    <row r="156">
      <c r="A156" s="4" t="inlineStr">
        <is>
          <t>E155</t>
        </is>
      </c>
      <c r="B156" s="4" t="inlineStr">
        <is>
          <t>C005</t>
        </is>
      </c>
      <c r="C156" s="8" t="n">
        <v>103650</v>
      </c>
      <c r="D156" s="8" t="n">
        <v>92058</v>
      </c>
      <c r="E156" s="8" t="n">
        <v>83776</v>
      </c>
      <c r="F156" s="8" t="n">
        <v>8282</v>
      </c>
      <c r="G156" s="8" t="n">
        <v>0</v>
      </c>
      <c r="H156" s="8" t="n">
        <v>200</v>
      </c>
      <c r="I156" s="8" t="n">
        <v>3110</v>
      </c>
      <c r="J156" s="9" t="n">
        <v>-8282</v>
      </c>
      <c r="K156" s="4">
        <f>IFERROR(INDEX('02_Employee_Master'!$D:$D,MATCH(A156,'02_Employee_Master'!$A:$A,0)),"")</f>
        <v/>
      </c>
      <c r="L156" s="4">
        <f>IFERROR(INDEX('02_Employee_Master'!$J:$J,MATCH(A156,'02_Employee_Master'!$A:$A,0)),"")</f>
        <v/>
      </c>
    </row>
    <row r="157">
      <c r="A157" s="4" t="inlineStr">
        <is>
          <t>E156</t>
        </is>
      </c>
      <c r="B157" s="4" t="inlineStr">
        <is>
          <t>C039</t>
        </is>
      </c>
      <c r="C157" s="8" t="n">
        <v>37298</v>
      </c>
      <c r="D157" s="8" t="n">
        <v>34484</v>
      </c>
      <c r="E157" s="8" t="n">
        <v>34395</v>
      </c>
      <c r="F157" s="8" t="n">
        <v>2614</v>
      </c>
      <c r="G157" s="8" t="n">
        <v>0</v>
      </c>
      <c r="H157" s="8" t="n">
        <v>200</v>
      </c>
      <c r="I157" s="8" t="n">
        <v>0</v>
      </c>
      <c r="J157" s="9" t="n">
        <v>-89</v>
      </c>
      <c r="K157" s="4">
        <f>IFERROR(INDEX('02_Employee_Master'!$D:$D,MATCH(A157,'02_Employee_Master'!$A:$A,0)),"")</f>
        <v/>
      </c>
      <c r="L157" s="4">
        <f>IFERROR(INDEX('02_Employee_Master'!$J:$J,MATCH(A157,'02_Employee_Master'!$A:$A,0)),"")</f>
        <v/>
      </c>
    </row>
    <row r="158">
      <c r="A158" s="4" t="inlineStr">
        <is>
          <t>E157</t>
        </is>
      </c>
      <c r="B158" s="4" t="inlineStr">
        <is>
          <t>C005</t>
        </is>
      </c>
      <c r="C158" s="8" t="n">
        <v>55392</v>
      </c>
      <c r="D158" s="8" t="n">
        <v>51009</v>
      </c>
      <c r="E158" s="8" t="n">
        <v>46826</v>
      </c>
      <c r="F158" s="8" t="n">
        <v>4183</v>
      </c>
      <c r="G158" s="8" t="n">
        <v>0</v>
      </c>
      <c r="H158" s="8" t="n">
        <v>200</v>
      </c>
      <c r="I158" s="8" t="n">
        <v>0</v>
      </c>
      <c r="J158" s="9" t="n">
        <v>-4183</v>
      </c>
      <c r="K158" s="4">
        <f>IFERROR(INDEX('02_Employee_Master'!$D:$D,MATCH(A158,'02_Employee_Master'!$A:$A,0)),"")</f>
        <v/>
      </c>
      <c r="L158" s="4">
        <f>IFERROR(INDEX('02_Employee_Master'!$J:$J,MATCH(A158,'02_Employee_Master'!$A:$A,0)),"")</f>
        <v/>
      </c>
    </row>
    <row r="159">
      <c r="A159" s="4" t="inlineStr">
        <is>
          <t>E158</t>
        </is>
      </c>
      <c r="B159" s="4" t="inlineStr">
        <is>
          <t>C006</t>
        </is>
      </c>
      <c r="C159" s="8" t="n">
        <v>74235</v>
      </c>
      <c r="D159" s="8" t="n">
        <v>68785</v>
      </c>
      <c r="E159" s="8" t="n">
        <v>68730</v>
      </c>
      <c r="F159" s="8" t="n">
        <v>5250</v>
      </c>
      <c r="G159" s="8" t="n">
        <v>0</v>
      </c>
      <c r="H159" s="8" t="n">
        <v>200</v>
      </c>
      <c r="I159" s="8" t="n">
        <v>0</v>
      </c>
      <c r="J159" s="9" t="n">
        <v>-55</v>
      </c>
      <c r="K159" s="4">
        <f>IFERROR(INDEX('02_Employee_Master'!$D:$D,MATCH(A159,'02_Employee_Master'!$A:$A,0)),"")</f>
        <v/>
      </c>
      <c r="L159" s="4">
        <f>IFERROR(INDEX('02_Employee_Master'!$J:$J,MATCH(A159,'02_Employee_Master'!$A:$A,0)),"")</f>
        <v/>
      </c>
    </row>
    <row r="160">
      <c r="A160" s="4" t="inlineStr">
        <is>
          <t>E159</t>
        </is>
      </c>
      <c r="B160" s="4" t="inlineStr">
        <is>
          <t>C041</t>
        </is>
      </c>
      <c r="C160" s="8" t="n">
        <v>88185</v>
      </c>
      <c r="D160" s="8" t="n">
        <v>79334</v>
      </c>
      <c r="E160" s="8" t="n">
        <v>79334</v>
      </c>
      <c r="F160" s="8" t="n">
        <v>6770</v>
      </c>
      <c r="G160" s="8" t="n">
        <v>0</v>
      </c>
      <c r="H160" s="8" t="n">
        <v>200</v>
      </c>
      <c r="I160" s="8" t="n">
        <v>0</v>
      </c>
      <c r="J160" s="9" t="n">
        <v>0</v>
      </c>
      <c r="K160" s="4">
        <f>IFERROR(INDEX('02_Employee_Master'!$D:$D,MATCH(A160,'02_Employee_Master'!$A:$A,0)),"")</f>
        <v/>
      </c>
      <c r="L160" s="4">
        <f>IFERROR(INDEX('02_Employee_Master'!$J:$J,MATCH(A160,'02_Employee_Master'!$A:$A,0)),"")</f>
        <v/>
      </c>
    </row>
    <row r="161">
      <c r="A161" s="4" t="inlineStr">
        <is>
          <t>E160</t>
        </is>
      </c>
      <c r="B161" s="4" t="inlineStr">
        <is>
          <t>C043</t>
        </is>
      </c>
      <c r="C161" s="8" t="n">
        <v>35184</v>
      </c>
      <c r="D161" s="8" t="n">
        <v>32679</v>
      </c>
      <c r="E161" s="8" t="n">
        <v>32679</v>
      </c>
      <c r="F161" s="8" t="n">
        <v>2305</v>
      </c>
      <c r="G161" s="8" t="n">
        <v>0</v>
      </c>
      <c r="H161" s="8" t="n">
        <v>200</v>
      </c>
      <c r="I161" s="8" t="n">
        <v>0</v>
      </c>
      <c r="J161" s="9" t="n">
        <v>0</v>
      </c>
      <c r="K161" s="4">
        <f>IFERROR(INDEX('02_Employee_Master'!$D:$D,MATCH(A161,'02_Employee_Master'!$A:$A,0)),"")</f>
        <v/>
      </c>
      <c r="L161" s="4">
        <f>IFERROR(INDEX('02_Employee_Master'!$J:$J,MATCH(A161,'02_Employee_Master'!$A:$A,0)),"")</f>
        <v/>
      </c>
    </row>
    <row r="162">
      <c r="A162" s="4" t="inlineStr">
        <is>
          <t>E161</t>
        </is>
      </c>
      <c r="B162" s="4" t="inlineStr">
        <is>
          <t>C014</t>
        </is>
      </c>
      <c r="C162" s="8" t="n">
        <v>49184</v>
      </c>
      <c r="D162" s="8" t="n">
        <v>45248</v>
      </c>
      <c r="E162" s="8" t="n">
        <v>45248</v>
      </c>
      <c r="F162" s="8" t="n">
        <v>3736</v>
      </c>
      <c r="G162" s="8" t="n">
        <v>0</v>
      </c>
      <c r="H162" s="8" t="n">
        <v>200</v>
      </c>
      <c r="I162" s="8" t="n">
        <v>0</v>
      </c>
      <c r="J162" s="9" t="n">
        <v>0</v>
      </c>
      <c r="K162" s="4">
        <f>IFERROR(INDEX('02_Employee_Master'!$D:$D,MATCH(A162,'02_Employee_Master'!$A:$A,0)),"")</f>
        <v/>
      </c>
      <c r="L162" s="4">
        <f>IFERROR(INDEX('02_Employee_Master'!$J:$J,MATCH(A162,'02_Employee_Master'!$A:$A,0)),"")</f>
        <v/>
      </c>
    </row>
    <row r="163">
      <c r="A163" s="4" t="inlineStr">
        <is>
          <t>E162</t>
        </is>
      </c>
      <c r="B163" s="4" t="inlineStr">
        <is>
          <t>C041</t>
        </is>
      </c>
      <c r="C163" s="8" t="n">
        <v>97230</v>
      </c>
      <c r="D163" s="8" t="n">
        <v>89649</v>
      </c>
      <c r="E163" s="8" t="n">
        <v>89649</v>
      </c>
      <c r="F163" s="8" t="n">
        <v>7381</v>
      </c>
      <c r="G163" s="8" t="n">
        <v>0</v>
      </c>
      <c r="H163" s="8" t="n">
        <v>200</v>
      </c>
      <c r="I163" s="8" t="n">
        <v>0</v>
      </c>
      <c r="J163" s="9" t="n">
        <v>0</v>
      </c>
      <c r="K163" s="4">
        <f>IFERROR(INDEX('02_Employee_Master'!$D:$D,MATCH(A163,'02_Employee_Master'!$A:$A,0)),"")</f>
        <v/>
      </c>
      <c r="L163" s="4">
        <f>IFERROR(INDEX('02_Employee_Master'!$J:$J,MATCH(A163,'02_Employee_Master'!$A:$A,0)),"")</f>
        <v/>
      </c>
    </row>
    <row r="164">
      <c r="A164" s="4" t="inlineStr">
        <is>
          <t>E163</t>
        </is>
      </c>
      <c r="B164" s="4" t="inlineStr">
        <is>
          <t>C043</t>
        </is>
      </c>
      <c r="C164" s="8" t="n">
        <v>75963</v>
      </c>
      <c r="D164" s="8" t="n">
        <v>70030</v>
      </c>
      <c r="E164" s="8" t="n">
        <v>70030</v>
      </c>
      <c r="F164" s="8" t="n">
        <v>5733</v>
      </c>
      <c r="G164" s="8" t="n">
        <v>0</v>
      </c>
      <c r="H164" s="8" t="n">
        <v>200</v>
      </c>
      <c r="I164" s="8" t="n">
        <v>0</v>
      </c>
      <c r="J164" s="9" t="n">
        <v>0</v>
      </c>
      <c r="K164" s="4">
        <f>IFERROR(INDEX('02_Employee_Master'!$D:$D,MATCH(A164,'02_Employee_Master'!$A:$A,0)),"")</f>
        <v/>
      </c>
      <c r="L164" s="4">
        <f>IFERROR(INDEX('02_Employee_Master'!$J:$J,MATCH(A164,'02_Employee_Master'!$A:$A,0)),"")</f>
        <v/>
      </c>
    </row>
    <row r="165">
      <c r="A165" s="4" t="inlineStr">
        <is>
          <t>E164</t>
        </is>
      </c>
      <c r="B165" s="4" t="inlineStr">
        <is>
          <t>C031</t>
        </is>
      </c>
      <c r="C165" s="8" t="n">
        <v>113969</v>
      </c>
      <c r="D165" s="8" t="n">
        <v>101725</v>
      </c>
      <c r="E165" s="8" t="n">
        <v>101725</v>
      </c>
      <c r="F165" s="8" t="n">
        <v>8625</v>
      </c>
      <c r="G165" s="8" t="n">
        <v>0</v>
      </c>
      <c r="H165" s="8" t="n">
        <v>200</v>
      </c>
      <c r="I165" s="8" t="n">
        <v>3419</v>
      </c>
      <c r="J165" s="9" t="n">
        <v>0</v>
      </c>
      <c r="K165" s="4">
        <f>IFERROR(INDEX('02_Employee_Master'!$D:$D,MATCH(A165,'02_Employee_Master'!$A:$A,0)),"")</f>
        <v/>
      </c>
      <c r="L165" s="4">
        <f>IFERROR(INDEX('02_Employee_Master'!$J:$J,MATCH(A165,'02_Employee_Master'!$A:$A,0)),"")</f>
        <v/>
      </c>
    </row>
    <row r="166">
      <c r="A166" s="4" t="inlineStr">
        <is>
          <t>E165</t>
        </is>
      </c>
      <c r="B166" s="4" t="inlineStr">
        <is>
          <t>C002</t>
        </is>
      </c>
      <c r="C166" s="8" t="n">
        <v>103987</v>
      </c>
      <c r="D166" s="8" t="n">
        <v>92775</v>
      </c>
      <c r="E166" s="8" t="n">
        <v>92775</v>
      </c>
      <c r="F166" s="8" t="n">
        <v>7892</v>
      </c>
      <c r="G166" s="8" t="n">
        <v>0</v>
      </c>
      <c r="H166" s="8" t="n">
        <v>200</v>
      </c>
      <c r="I166" s="8" t="n">
        <v>3120</v>
      </c>
      <c r="J166" s="9" t="n">
        <v>0</v>
      </c>
      <c r="K166" s="4">
        <f>IFERROR(INDEX('02_Employee_Master'!$D:$D,MATCH(A166,'02_Employee_Master'!$A:$A,0)),"")</f>
        <v/>
      </c>
      <c r="L166" s="4">
        <f>IFERROR(INDEX('02_Employee_Master'!$J:$J,MATCH(A166,'02_Employee_Master'!$A:$A,0)),"")</f>
        <v/>
      </c>
    </row>
    <row r="167">
      <c r="A167" s="4" t="inlineStr">
        <is>
          <t>E166</t>
        </is>
      </c>
      <c r="B167" s="4" t="inlineStr">
        <is>
          <t>C006</t>
        </is>
      </c>
      <c r="C167" s="8" t="n">
        <v>93763</v>
      </c>
      <c r="D167" s="8" t="n">
        <v>84134</v>
      </c>
      <c r="E167" s="8" t="n">
        <v>84093</v>
      </c>
      <c r="F167" s="8" t="n">
        <v>7379</v>
      </c>
      <c r="G167" s="8" t="n">
        <v>0</v>
      </c>
      <c r="H167" s="8" t="n">
        <v>200</v>
      </c>
      <c r="I167" s="8" t="n">
        <v>0</v>
      </c>
      <c r="J167" s="9" t="n">
        <v>-41</v>
      </c>
      <c r="K167" s="4">
        <f>IFERROR(INDEX('02_Employee_Master'!$D:$D,MATCH(A167,'02_Employee_Master'!$A:$A,0)),"")</f>
        <v/>
      </c>
      <c r="L167" s="4">
        <f>IFERROR(INDEX('02_Employee_Master'!$J:$J,MATCH(A167,'02_Employee_Master'!$A:$A,0)),"")</f>
        <v/>
      </c>
    </row>
    <row r="168">
      <c r="A168" s="4" t="inlineStr">
        <is>
          <t>E167</t>
        </is>
      </c>
      <c r="B168" s="4" t="inlineStr">
        <is>
          <t>C050</t>
        </is>
      </c>
      <c r="C168" s="8" t="n">
        <v>46210</v>
      </c>
      <c r="D168" s="8" t="n">
        <v>40346</v>
      </c>
      <c r="E168" s="8" t="n">
        <v>40346</v>
      </c>
      <c r="F168" s="8" t="n">
        <v>3641</v>
      </c>
      <c r="G168" s="8" t="n">
        <v>0</v>
      </c>
      <c r="H168" s="8" t="n">
        <v>200</v>
      </c>
      <c r="I168" s="8" t="n">
        <v>0</v>
      </c>
      <c r="J168" s="9" t="n">
        <v>0</v>
      </c>
      <c r="K168" s="4">
        <f>IFERROR(INDEX('02_Employee_Master'!$D:$D,MATCH(A168,'02_Employee_Master'!$A:$A,0)),"")</f>
        <v/>
      </c>
      <c r="L168" s="4">
        <f>IFERROR(INDEX('02_Employee_Master'!$J:$J,MATCH(A168,'02_Employee_Master'!$A:$A,0)),"")</f>
        <v/>
      </c>
    </row>
    <row r="169">
      <c r="A169" s="4" t="inlineStr">
        <is>
          <t>E168</t>
        </is>
      </c>
      <c r="B169" s="4" t="inlineStr">
        <is>
          <t>C017</t>
        </is>
      </c>
      <c r="C169" s="8" t="n">
        <v>133945</v>
      </c>
      <c r="D169" s="8" t="n">
        <v>113733</v>
      </c>
      <c r="E169" s="8" t="n">
        <v>113733</v>
      </c>
      <c r="F169" s="8" t="n">
        <v>10282</v>
      </c>
      <c r="G169" s="8" t="n">
        <v>0</v>
      </c>
      <c r="H169" s="8" t="n">
        <v>200</v>
      </c>
      <c r="I169" s="8" t="n">
        <v>4018</v>
      </c>
      <c r="J169" s="9" t="n">
        <v>0</v>
      </c>
      <c r="K169" s="4">
        <f>IFERROR(INDEX('02_Employee_Master'!$D:$D,MATCH(A169,'02_Employee_Master'!$A:$A,0)),"")</f>
        <v/>
      </c>
      <c r="L169" s="4">
        <f>IFERROR(INDEX('02_Employee_Master'!$J:$J,MATCH(A169,'02_Employee_Master'!$A:$A,0)),"")</f>
        <v/>
      </c>
    </row>
    <row r="170">
      <c r="A170" s="4" t="inlineStr">
        <is>
          <t>E169</t>
        </is>
      </c>
      <c r="B170" s="4" t="inlineStr">
        <is>
          <t>C040</t>
        </is>
      </c>
      <c r="C170" s="8" t="n">
        <v>66365</v>
      </c>
      <c r="D170" s="8" t="n">
        <v>61641</v>
      </c>
      <c r="E170" s="8" t="n">
        <v>61641</v>
      </c>
      <c r="F170" s="8" t="n">
        <v>4524</v>
      </c>
      <c r="G170" s="8" t="n">
        <v>0</v>
      </c>
      <c r="H170" s="8" t="n">
        <v>200</v>
      </c>
      <c r="I170" s="8" t="n">
        <v>0</v>
      </c>
      <c r="J170" s="9" t="n">
        <v>0</v>
      </c>
      <c r="K170" s="4">
        <f>IFERROR(INDEX('02_Employee_Master'!$D:$D,MATCH(A170,'02_Employee_Master'!$A:$A,0)),"")</f>
        <v/>
      </c>
      <c r="L170" s="4">
        <f>IFERROR(INDEX('02_Employee_Master'!$J:$J,MATCH(A170,'02_Employee_Master'!$A:$A,0)),"")</f>
        <v/>
      </c>
    </row>
    <row r="171">
      <c r="A171" s="4" t="inlineStr">
        <is>
          <t>E170</t>
        </is>
      </c>
      <c r="B171" s="4" t="inlineStr">
        <is>
          <t>C004</t>
        </is>
      </c>
      <c r="C171" s="8" t="n">
        <v>130395</v>
      </c>
      <c r="D171" s="8" t="n">
        <v>116299</v>
      </c>
      <c r="E171" s="8" t="n">
        <v>116299</v>
      </c>
      <c r="F171" s="8" t="n">
        <v>9984</v>
      </c>
      <c r="G171" s="8" t="n">
        <v>0</v>
      </c>
      <c r="H171" s="8" t="n">
        <v>200</v>
      </c>
      <c r="I171" s="8" t="n">
        <v>3912</v>
      </c>
      <c r="J171" s="9" t="n">
        <v>0</v>
      </c>
      <c r="K171" s="4">
        <f>IFERROR(INDEX('02_Employee_Master'!$D:$D,MATCH(A171,'02_Employee_Master'!$A:$A,0)),"")</f>
        <v/>
      </c>
      <c r="L171" s="4">
        <f>IFERROR(INDEX('02_Employee_Master'!$J:$J,MATCH(A171,'02_Employee_Master'!$A:$A,0)),"")</f>
        <v/>
      </c>
    </row>
    <row r="172">
      <c r="A172" s="4" t="inlineStr">
        <is>
          <t>E171</t>
        </is>
      </c>
      <c r="B172" s="4" t="inlineStr">
        <is>
          <t>C031</t>
        </is>
      </c>
      <c r="C172" s="8" t="n">
        <v>125533</v>
      </c>
      <c r="D172" s="8" t="n">
        <v>111777</v>
      </c>
      <c r="E172" s="8" t="n">
        <v>111777</v>
      </c>
      <c r="F172" s="8" t="n">
        <v>9790</v>
      </c>
      <c r="G172" s="8" t="n">
        <v>0</v>
      </c>
      <c r="H172" s="8" t="n">
        <v>200</v>
      </c>
      <c r="I172" s="8" t="n">
        <v>3766</v>
      </c>
      <c r="J172" s="9" t="n">
        <v>0</v>
      </c>
      <c r="K172" s="4">
        <f>IFERROR(INDEX('02_Employee_Master'!$D:$D,MATCH(A172,'02_Employee_Master'!$A:$A,0)),"")</f>
        <v/>
      </c>
      <c r="L172" s="4">
        <f>IFERROR(INDEX('02_Employee_Master'!$J:$J,MATCH(A172,'02_Employee_Master'!$A:$A,0)),"")</f>
        <v/>
      </c>
    </row>
    <row r="173">
      <c r="A173" s="4" t="inlineStr">
        <is>
          <t>E172</t>
        </is>
      </c>
      <c r="B173" s="4" t="inlineStr">
        <is>
          <t>C007</t>
        </is>
      </c>
      <c r="C173" s="8" t="n">
        <v>117743</v>
      </c>
      <c r="D173" s="8" t="n">
        <v>104445</v>
      </c>
      <c r="E173" s="8" t="n">
        <v>104445</v>
      </c>
      <c r="F173" s="8" t="n">
        <v>9566</v>
      </c>
      <c r="G173" s="8" t="n">
        <v>0</v>
      </c>
      <c r="H173" s="8" t="n">
        <v>200</v>
      </c>
      <c r="I173" s="8" t="n">
        <v>3532</v>
      </c>
      <c r="J173" s="9" t="n">
        <v>0</v>
      </c>
      <c r="K173" s="4">
        <f>IFERROR(INDEX('02_Employee_Master'!$D:$D,MATCH(A173,'02_Employee_Master'!$A:$A,0)),"")</f>
        <v/>
      </c>
      <c r="L173" s="4">
        <f>IFERROR(INDEX('02_Employee_Master'!$J:$J,MATCH(A173,'02_Employee_Master'!$A:$A,0)),"")</f>
        <v/>
      </c>
    </row>
    <row r="174">
      <c r="A174" s="4" t="inlineStr">
        <is>
          <t>E173</t>
        </is>
      </c>
      <c r="B174" s="4" t="inlineStr">
        <is>
          <t>C045</t>
        </is>
      </c>
      <c r="C174" s="8" t="n">
        <v>83247</v>
      </c>
      <c r="D174" s="8" t="n">
        <v>77171</v>
      </c>
      <c r="E174" s="8" t="n">
        <v>77171</v>
      </c>
      <c r="F174" s="8" t="n">
        <v>5876</v>
      </c>
      <c r="G174" s="8" t="n">
        <v>0</v>
      </c>
      <c r="H174" s="8" t="n">
        <v>200</v>
      </c>
      <c r="I174" s="8" t="n">
        <v>0</v>
      </c>
      <c r="J174" s="9" t="n">
        <v>0</v>
      </c>
      <c r="K174" s="4">
        <f>IFERROR(INDEX('02_Employee_Master'!$D:$D,MATCH(A174,'02_Employee_Master'!$A:$A,0)),"")</f>
        <v/>
      </c>
      <c r="L174" s="4">
        <f>IFERROR(INDEX('02_Employee_Master'!$J:$J,MATCH(A174,'02_Employee_Master'!$A:$A,0)),"")</f>
        <v/>
      </c>
    </row>
    <row r="175">
      <c r="A175" s="4" t="inlineStr">
        <is>
          <t>E174</t>
        </is>
      </c>
      <c r="B175" s="4" t="inlineStr">
        <is>
          <t>C025</t>
        </is>
      </c>
      <c r="C175" s="8" t="n">
        <v>75096</v>
      </c>
      <c r="D175" s="8" t="n">
        <v>69578</v>
      </c>
      <c r="E175" s="8" t="n">
        <v>71731</v>
      </c>
      <c r="F175" s="8" t="n">
        <v>5318</v>
      </c>
      <c r="G175" s="8" t="n">
        <v>0</v>
      </c>
      <c r="H175" s="8" t="n">
        <v>200</v>
      </c>
      <c r="I175" s="8" t="n">
        <v>0</v>
      </c>
      <c r="J175" s="9" t="n">
        <v>2153</v>
      </c>
      <c r="K175" s="4">
        <f>IFERROR(INDEX('02_Employee_Master'!$D:$D,MATCH(A175,'02_Employee_Master'!$A:$A,0)),"")</f>
        <v/>
      </c>
      <c r="L175" s="4">
        <f>IFERROR(INDEX('02_Employee_Master'!$J:$J,MATCH(A175,'02_Employee_Master'!$A:$A,0)),"")</f>
        <v/>
      </c>
    </row>
    <row r="176">
      <c r="A176" s="4" t="inlineStr">
        <is>
          <t>E175</t>
        </is>
      </c>
      <c r="B176" s="4" t="inlineStr">
        <is>
          <t>C007</t>
        </is>
      </c>
      <c r="C176" s="8" t="n">
        <v>121977</v>
      </c>
      <c r="D176" s="8" t="n">
        <v>104342</v>
      </c>
      <c r="E176" s="8" t="n">
        <v>104342</v>
      </c>
      <c r="F176" s="8" t="n">
        <v>8856</v>
      </c>
      <c r="G176" s="8" t="n">
        <v>0</v>
      </c>
      <c r="H176" s="8" t="n">
        <v>200</v>
      </c>
      <c r="I176" s="8" t="n">
        <v>3659</v>
      </c>
      <c r="J176" s="9" t="n">
        <v>0</v>
      </c>
      <c r="K176" s="4">
        <f>IFERROR(INDEX('02_Employee_Master'!$D:$D,MATCH(A176,'02_Employee_Master'!$A:$A,0)),"")</f>
        <v/>
      </c>
      <c r="L176" s="4">
        <f>IFERROR(INDEX('02_Employee_Master'!$J:$J,MATCH(A176,'02_Employee_Master'!$A:$A,0)),"")</f>
        <v/>
      </c>
    </row>
    <row r="177">
      <c r="A177" s="4" t="inlineStr">
        <is>
          <t>E176</t>
        </is>
      </c>
      <c r="B177" s="4" t="inlineStr">
        <is>
          <t>C011</t>
        </is>
      </c>
      <c r="C177" s="8" t="n">
        <v>79575</v>
      </c>
      <c r="D177" s="8" t="n">
        <v>73201</v>
      </c>
      <c r="E177" s="8" t="n">
        <v>73201</v>
      </c>
      <c r="F177" s="8" t="n">
        <v>6174</v>
      </c>
      <c r="G177" s="8" t="n">
        <v>0</v>
      </c>
      <c r="H177" s="8" t="n">
        <v>200</v>
      </c>
      <c r="I177" s="8" t="n">
        <v>0</v>
      </c>
      <c r="J177" s="9" t="n">
        <v>0</v>
      </c>
      <c r="K177" s="4">
        <f>IFERROR(INDEX('02_Employee_Master'!$D:$D,MATCH(A177,'02_Employee_Master'!$A:$A,0)),"")</f>
        <v/>
      </c>
      <c r="L177" s="4">
        <f>IFERROR(INDEX('02_Employee_Master'!$J:$J,MATCH(A177,'02_Employee_Master'!$A:$A,0)),"")</f>
        <v/>
      </c>
    </row>
    <row r="178">
      <c r="A178" s="4" t="inlineStr">
        <is>
          <t>E177</t>
        </is>
      </c>
      <c r="B178" s="4" t="inlineStr">
        <is>
          <t>C012</t>
        </is>
      </c>
      <c r="C178" s="8" t="n">
        <v>123382</v>
      </c>
      <c r="D178" s="8" t="n">
        <v>110018</v>
      </c>
      <c r="E178" s="8" t="n">
        <v>110018</v>
      </c>
      <c r="F178" s="8" t="n">
        <v>9463</v>
      </c>
      <c r="G178" s="8" t="n">
        <v>0</v>
      </c>
      <c r="H178" s="8" t="n">
        <v>200</v>
      </c>
      <c r="I178" s="8" t="n">
        <v>3701</v>
      </c>
      <c r="J178" s="9" t="n">
        <v>0</v>
      </c>
      <c r="K178" s="4">
        <f>IFERROR(INDEX('02_Employee_Master'!$D:$D,MATCH(A178,'02_Employee_Master'!$A:$A,0)),"")</f>
        <v/>
      </c>
      <c r="L178" s="4">
        <f>IFERROR(INDEX('02_Employee_Master'!$J:$J,MATCH(A178,'02_Employee_Master'!$A:$A,0)),"")</f>
        <v/>
      </c>
    </row>
    <row r="179">
      <c r="A179" s="4" t="inlineStr">
        <is>
          <t>E178</t>
        </is>
      </c>
      <c r="B179" s="4" t="inlineStr">
        <is>
          <t>C048</t>
        </is>
      </c>
      <c r="C179" s="8" t="n">
        <v>34815</v>
      </c>
      <c r="D179" s="8" t="n">
        <v>32153</v>
      </c>
      <c r="E179" s="8" t="n">
        <v>32097</v>
      </c>
      <c r="F179" s="8" t="n">
        <v>2462</v>
      </c>
      <c r="G179" s="8" t="n">
        <v>0</v>
      </c>
      <c r="H179" s="8" t="n">
        <v>200</v>
      </c>
      <c r="I179" s="8" t="n">
        <v>0</v>
      </c>
      <c r="J179" s="9" t="n">
        <v>-56</v>
      </c>
      <c r="K179" s="4">
        <f>IFERROR(INDEX('02_Employee_Master'!$D:$D,MATCH(A179,'02_Employee_Master'!$A:$A,0)),"")</f>
        <v/>
      </c>
      <c r="L179" s="4">
        <f>IFERROR(INDEX('02_Employee_Master'!$J:$J,MATCH(A179,'02_Employee_Master'!$A:$A,0)),"")</f>
        <v/>
      </c>
    </row>
    <row r="180">
      <c r="A180" s="4" t="inlineStr">
        <is>
          <t>E179</t>
        </is>
      </c>
      <c r="B180" s="4" t="inlineStr">
        <is>
          <t>C032</t>
        </is>
      </c>
      <c r="C180" s="8" t="n">
        <v>69705</v>
      </c>
      <c r="D180" s="8" t="n">
        <v>64507</v>
      </c>
      <c r="E180" s="8" t="n">
        <v>64507</v>
      </c>
      <c r="F180" s="8" t="n">
        <v>4998</v>
      </c>
      <c r="G180" s="8" t="n">
        <v>0</v>
      </c>
      <c r="H180" s="8" t="n">
        <v>200</v>
      </c>
      <c r="I180" s="8" t="n">
        <v>0</v>
      </c>
      <c r="J180" s="9" t="n">
        <v>0</v>
      </c>
      <c r="K180" s="4">
        <f>IFERROR(INDEX('02_Employee_Master'!$D:$D,MATCH(A180,'02_Employee_Master'!$A:$A,0)),"")</f>
        <v/>
      </c>
      <c r="L180" s="4">
        <f>IFERROR(INDEX('02_Employee_Master'!$J:$J,MATCH(A180,'02_Employee_Master'!$A:$A,0)),"")</f>
        <v/>
      </c>
    </row>
    <row r="181">
      <c r="A181" s="4" t="inlineStr">
        <is>
          <t>E180</t>
        </is>
      </c>
      <c r="B181" s="4" t="inlineStr">
        <is>
          <t>C046</t>
        </is>
      </c>
      <c r="C181" s="8" t="n">
        <v>88775</v>
      </c>
      <c r="D181" s="8" t="n">
        <v>81805</v>
      </c>
      <c r="E181" s="8" t="n">
        <v>81805</v>
      </c>
      <c r="F181" s="8" t="n">
        <v>6770</v>
      </c>
      <c r="G181" s="8" t="n">
        <v>0</v>
      </c>
      <c r="H181" s="8" t="n">
        <v>200</v>
      </c>
      <c r="I181" s="8" t="n">
        <v>0</v>
      </c>
      <c r="J181" s="9" t="n">
        <v>0</v>
      </c>
      <c r="K181" s="4">
        <f>IFERROR(INDEX('02_Employee_Master'!$D:$D,MATCH(A181,'02_Employee_Master'!$A:$A,0)),"")</f>
        <v/>
      </c>
      <c r="L181" s="4">
        <f>IFERROR(INDEX('02_Employee_Master'!$J:$J,MATCH(A181,'02_Employee_Master'!$A:$A,0)),"")</f>
        <v/>
      </c>
    </row>
    <row r="182">
      <c r="A182" s="4" t="inlineStr">
        <is>
          <t>E181</t>
        </is>
      </c>
      <c r="B182" s="4" t="inlineStr">
        <is>
          <t>C050</t>
        </is>
      </c>
      <c r="C182" s="8" t="n">
        <v>112387</v>
      </c>
      <c r="D182" s="8" t="n">
        <v>99970</v>
      </c>
      <c r="E182" s="8" t="n">
        <v>99970</v>
      </c>
      <c r="F182" s="8" t="n">
        <v>8845</v>
      </c>
      <c r="G182" s="8" t="n">
        <v>0</v>
      </c>
      <c r="H182" s="8" t="n">
        <v>200</v>
      </c>
      <c r="I182" s="8" t="n">
        <v>3372</v>
      </c>
      <c r="J182" s="9" t="n">
        <v>0</v>
      </c>
      <c r="K182" s="4">
        <f>IFERROR(INDEX('02_Employee_Master'!$D:$D,MATCH(A182,'02_Employee_Master'!$A:$A,0)),"")</f>
        <v/>
      </c>
      <c r="L182" s="4">
        <f>IFERROR(INDEX('02_Employee_Master'!$J:$J,MATCH(A182,'02_Employee_Master'!$A:$A,0)),"")</f>
        <v/>
      </c>
    </row>
    <row r="183">
      <c r="A183" s="4" t="inlineStr">
        <is>
          <t>E182</t>
        </is>
      </c>
      <c r="B183" s="4" t="inlineStr">
        <is>
          <t>C050</t>
        </is>
      </c>
      <c r="C183" s="8" t="n">
        <v>85478</v>
      </c>
      <c r="D183" s="8" t="n">
        <v>78900</v>
      </c>
      <c r="E183" s="8" t="n">
        <v>78900</v>
      </c>
      <c r="F183" s="8" t="n">
        <v>6378</v>
      </c>
      <c r="G183" s="8" t="n">
        <v>0</v>
      </c>
      <c r="H183" s="8" t="n">
        <v>200</v>
      </c>
      <c r="I183" s="8" t="n">
        <v>0</v>
      </c>
      <c r="J183" s="9" t="n">
        <v>0</v>
      </c>
      <c r="K183" s="4">
        <f>IFERROR(INDEX('02_Employee_Master'!$D:$D,MATCH(A183,'02_Employee_Master'!$A:$A,0)),"")</f>
        <v/>
      </c>
      <c r="L183" s="4">
        <f>IFERROR(INDEX('02_Employee_Master'!$J:$J,MATCH(A183,'02_Employee_Master'!$A:$A,0)),"")</f>
        <v/>
      </c>
    </row>
    <row r="184">
      <c r="A184" s="4" t="inlineStr">
        <is>
          <t>E183</t>
        </is>
      </c>
      <c r="B184" s="4" t="inlineStr">
        <is>
          <t>C023</t>
        </is>
      </c>
      <c r="C184" s="8" t="n">
        <v>44351</v>
      </c>
      <c r="D184" s="8" t="n">
        <v>41852</v>
      </c>
      <c r="E184" s="8" t="n">
        <v>41852</v>
      </c>
      <c r="F184" s="8" t="n">
        <v>2299</v>
      </c>
      <c r="G184" s="8" t="n">
        <v>0</v>
      </c>
      <c r="H184" s="8" t="n">
        <v>200</v>
      </c>
      <c r="I184" s="8" t="n">
        <v>0</v>
      </c>
      <c r="J184" s="9" t="n">
        <v>0</v>
      </c>
      <c r="K184" s="4">
        <f>IFERROR(INDEX('02_Employee_Master'!$D:$D,MATCH(A184,'02_Employee_Master'!$A:$A,0)),"")</f>
        <v/>
      </c>
      <c r="L184" s="4">
        <f>IFERROR(INDEX('02_Employee_Master'!$J:$J,MATCH(A184,'02_Employee_Master'!$A:$A,0)),"")</f>
        <v/>
      </c>
    </row>
    <row r="185">
      <c r="A185" s="4" t="inlineStr">
        <is>
          <t>E184</t>
        </is>
      </c>
      <c r="B185" s="4" t="inlineStr">
        <is>
          <t>C041</t>
        </is>
      </c>
      <c r="C185" s="8" t="n">
        <v>42483</v>
      </c>
      <c r="D185" s="8" t="n">
        <v>39266</v>
      </c>
      <c r="E185" s="8" t="n">
        <v>39266</v>
      </c>
      <c r="F185" s="8" t="n">
        <v>3017</v>
      </c>
      <c r="G185" s="8" t="n">
        <v>0</v>
      </c>
      <c r="H185" s="8" t="n">
        <v>200</v>
      </c>
      <c r="I185" s="8" t="n">
        <v>0</v>
      </c>
      <c r="J185" s="9" t="n">
        <v>0</v>
      </c>
      <c r="K185" s="4">
        <f>IFERROR(INDEX('02_Employee_Master'!$D:$D,MATCH(A185,'02_Employee_Master'!$A:$A,0)),"")</f>
        <v/>
      </c>
      <c r="L185" s="4">
        <f>IFERROR(INDEX('02_Employee_Master'!$J:$J,MATCH(A185,'02_Employee_Master'!$A:$A,0)),"")</f>
        <v/>
      </c>
    </row>
    <row r="186">
      <c r="A186" s="4" t="inlineStr">
        <is>
          <t>E185</t>
        </is>
      </c>
      <c r="B186" s="4" t="inlineStr">
        <is>
          <t>C003</t>
        </is>
      </c>
      <c r="C186" s="8" t="n">
        <v>100299</v>
      </c>
      <c r="D186" s="8" t="n">
        <v>88904</v>
      </c>
      <c r="E186" s="8" t="n">
        <v>88904</v>
      </c>
      <c r="F186" s="8" t="n">
        <v>8186</v>
      </c>
      <c r="G186" s="8" t="n">
        <v>0</v>
      </c>
      <c r="H186" s="8" t="n">
        <v>200</v>
      </c>
      <c r="I186" s="8" t="n">
        <v>3009</v>
      </c>
      <c r="J186" s="9" t="n">
        <v>0</v>
      </c>
      <c r="K186" s="4">
        <f>IFERROR(INDEX('02_Employee_Master'!$D:$D,MATCH(A186,'02_Employee_Master'!$A:$A,0)),"")</f>
        <v/>
      </c>
      <c r="L186" s="4">
        <f>IFERROR(INDEX('02_Employee_Master'!$J:$J,MATCH(A186,'02_Employee_Master'!$A:$A,0)),"")</f>
        <v/>
      </c>
    </row>
    <row r="187">
      <c r="A187" s="4" t="inlineStr">
        <is>
          <t>E186</t>
        </is>
      </c>
      <c r="B187" s="4" t="inlineStr">
        <is>
          <t>C042</t>
        </is>
      </c>
      <c r="C187" s="8" t="n">
        <v>92827</v>
      </c>
      <c r="D187" s="8" t="n">
        <v>85348</v>
      </c>
      <c r="E187" s="8" t="n">
        <v>85348</v>
      </c>
      <c r="F187" s="8" t="n">
        <v>7279</v>
      </c>
      <c r="G187" s="8" t="n">
        <v>0</v>
      </c>
      <c r="H187" s="8" t="n">
        <v>200</v>
      </c>
      <c r="I187" s="8" t="n">
        <v>0</v>
      </c>
      <c r="J187" s="9" t="n">
        <v>0</v>
      </c>
      <c r="K187" s="4">
        <f>IFERROR(INDEX('02_Employee_Master'!$D:$D,MATCH(A187,'02_Employee_Master'!$A:$A,0)),"")</f>
        <v/>
      </c>
      <c r="L187" s="4">
        <f>IFERROR(INDEX('02_Employee_Master'!$J:$J,MATCH(A187,'02_Employee_Master'!$A:$A,0)),"")</f>
        <v/>
      </c>
    </row>
    <row r="188">
      <c r="A188" s="4" t="inlineStr">
        <is>
          <t>E187</t>
        </is>
      </c>
      <c r="B188" s="4" t="inlineStr">
        <is>
          <t>C021</t>
        </is>
      </c>
      <c r="C188" s="8" t="n">
        <v>31396</v>
      </c>
      <c r="D188" s="8" t="n">
        <v>27837</v>
      </c>
      <c r="E188" s="8" t="n">
        <v>27837</v>
      </c>
      <c r="F188" s="8" t="n">
        <v>2159</v>
      </c>
      <c r="G188" s="8" t="n">
        <v>0</v>
      </c>
      <c r="H188" s="8" t="n">
        <v>200</v>
      </c>
      <c r="I188" s="8" t="n">
        <v>0</v>
      </c>
      <c r="J188" s="9" t="n">
        <v>0</v>
      </c>
      <c r="K188" s="4">
        <f>IFERROR(INDEX('02_Employee_Master'!$D:$D,MATCH(A188,'02_Employee_Master'!$A:$A,0)),"")</f>
        <v/>
      </c>
      <c r="L188" s="4">
        <f>IFERROR(INDEX('02_Employee_Master'!$J:$J,MATCH(A188,'02_Employee_Master'!$A:$A,0)),"")</f>
        <v/>
      </c>
    </row>
    <row r="189">
      <c r="A189" s="4" t="inlineStr">
        <is>
          <t>E188</t>
        </is>
      </c>
      <c r="B189" s="4" t="inlineStr">
        <is>
          <t>C024</t>
        </is>
      </c>
      <c r="C189" s="8" t="n">
        <v>130961</v>
      </c>
      <c r="D189" s="8" t="n">
        <v>116673</v>
      </c>
      <c r="E189" s="8" t="n">
        <v>116673</v>
      </c>
      <c r="F189" s="8" t="n">
        <v>10159</v>
      </c>
      <c r="G189" s="8" t="n">
        <v>0</v>
      </c>
      <c r="H189" s="8" t="n">
        <v>200</v>
      </c>
      <c r="I189" s="8" t="n">
        <v>3929</v>
      </c>
      <c r="J189" s="9" t="n">
        <v>0</v>
      </c>
      <c r="K189" s="4">
        <f>IFERROR(INDEX('02_Employee_Master'!$D:$D,MATCH(A189,'02_Employee_Master'!$A:$A,0)),"")</f>
        <v/>
      </c>
      <c r="L189" s="4">
        <f>IFERROR(INDEX('02_Employee_Master'!$J:$J,MATCH(A189,'02_Employee_Master'!$A:$A,0)),"")</f>
        <v/>
      </c>
    </row>
    <row r="190">
      <c r="A190" s="4" t="inlineStr">
        <is>
          <t>E189</t>
        </is>
      </c>
      <c r="B190" s="4" t="inlineStr">
        <is>
          <t>C002</t>
        </is>
      </c>
      <c r="C190" s="8" t="n">
        <v>97299</v>
      </c>
      <c r="D190" s="8" t="n">
        <v>89451</v>
      </c>
      <c r="E190" s="8" t="n">
        <v>89451</v>
      </c>
      <c r="F190" s="8" t="n">
        <v>7648</v>
      </c>
      <c r="G190" s="8" t="n">
        <v>0</v>
      </c>
      <c r="H190" s="8" t="n">
        <v>200</v>
      </c>
      <c r="I190" s="8" t="n">
        <v>0</v>
      </c>
      <c r="J190" s="9" t="n">
        <v>0</v>
      </c>
      <c r="K190" s="4">
        <f>IFERROR(INDEX('02_Employee_Master'!$D:$D,MATCH(A190,'02_Employee_Master'!$A:$A,0)),"")</f>
        <v/>
      </c>
      <c r="L190" s="4">
        <f>IFERROR(INDEX('02_Employee_Master'!$J:$J,MATCH(A190,'02_Employee_Master'!$A:$A,0)),"")</f>
        <v/>
      </c>
    </row>
    <row r="191">
      <c r="A191" s="4" t="inlineStr">
        <is>
          <t>E190</t>
        </is>
      </c>
      <c r="B191" s="4" t="inlineStr">
        <is>
          <t>C022</t>
        </is>
      </c>
      <c r="C191" s="8" t="n">
        <v>31248</v>
      </c>
      <c r="D191" s="8" t="n">
        <v>28670</v>
      </c>
      <c r="E191" s="8" t="n">
        <v>28670</v>
      </c>
      <c r="F191" s="8" t="n">
        <v>2378</v>
      </c>
      <c r="G191" s="8" t="n">
        <v>0</v>
      </c>
      <c r="H191" s="8" t="n">
        <v>200</v>
      </c>
      <c r="I191" s="8" t="n">
        <v>0</v>
      </c>
      <c r="J191" s="9" t="n">
        <v>0</v>
      </c>
      <c r="K191" s="4">
        <f>IFERROR(INDEX('02_Employee_Master'!$D:$D,MATCH(A191,'02_Employee_Master'!$A:$A,0)),"")</f>
        <v/>
      </c>
      <c r="L191" s="4">
        <f>IFERROR(INDEX('02_Employee_Master'!$J:$J,MATCH(A191,'02_Employee_Master'!$A:$A,0)),"")</f>
        <v/>
      </c>
    </row>
    <row r="192">
      <c r="A192" s="4" t="inlineStr">
        <is>
          <t>E191</t>
        </is>
      </c>
      <c r="B192" s="4" t="inlineStr">
        <is>
          <t>C018</t>
        </is>
      </c>
      <c r="C192" s="8" t="n">
        <v>103690</v>
      </c>
      <c r="D192" s="8" t="n">
        <v>91849</v>
      </c>
      <c r="E192" s="8" t="n">
        <v>91849</v>
      </c>
      <c r="F192" s="8" t="n">
        <v>8530</v>
      </c>
      <c r="G192" s="8" t="n">
        <v>0</v>
      </c>
      <c r="H192" s="8" t="n">
        <v>200</v>
      </c>
      <c r="I192" s="8" t="n">
        <v>3111</v>
      </c>
      <c r="J192" s="9" t="n">
        <v>0</v>
      </c>
      <c r="K192" s="4">
        <f>IFERROR(INDEX('02_Employee_Master'!$D:$D,MATCH(A192,'02_Employee_Master'!$A:$A,0)),"")</f>
        <v/>
      </c>
      <c r="L192" s="4">
        <f>IFERROR(INDEX('02_Employee_Master'!$J:$J,MATCH(A192,'02_Employee_Master'!$A:$A,0)),"")</f>
        <v/>
      </c>
    </row>
    <row r="193">
      <c r="A193" s="4" t="inlineStr">
        <is>
          <t>E192</t>
        </is>
      </c>
      <c r="B193" s="4" t="inlineStr">
        <is>
          <t>C022</t>
        </is>
      </c>
      <c r="C193" s="8" t="n">
        <v>35058</v>
      </c>
      <c r="D193" s="8" t="n">
        <v>32732</v>
      </c>
      <c r="E193" s="8" t="n">
        <v>32732</v>
      </c>
      <c r="F193" s="8" t="n">
        <v>2126</v>
      </c>
      <c r="G193" s="8" t="n">
        <v>0</v>
      </c>
      <c r="H193" s="8" t="n">
        <v>200</v>
      </c>
      <c r="I193" s="8" t="n">
        <v>0</v>
      </c>
      <c r="J193" s="9" t="n">
        <v>0</v>
      </c>
      <c r="K193" s="4">
        <f>IFERROR(INDEX('02_Employee_Master'!$D:$D,MATCH(A193,'02_Employee_Master'!$A:$A,0)),"")</f>
        <v/>
      </c>
      <c r="L193" s="4">
        <f>IFERROR(INDEX('02_Employee_Master'!$J:$J,MATCH(A193,'02_Employee_Master'!$A:$A,0)),"")</f>
        <v/>
      </c>
    </row>
    <row r="194">
      <c r="A194" s="4" t="inlineStr">
        <is>
          <t>E193</t>
        </is>
      </c>
      <c r="B194" s="4" t="inlineStr">
        <is>
          <t>C037</t>
        </is>
      </c>
      <c r="C194" s="8" t="n">
        <v>41743</v>
      </c>
      <c r="D194" s="8" t="n">
        <v>38286</v>
      </c>
      <c r="E194" s="8" t="n">
        <v>38286</v>
      </c>
      <c r="F194" s="8" t="n">
        <v>3257</v>
      </c>
      <c r="G194" s="8" t="n">
        <v>0</v>
      </c>
      <c r="H194" s="8" t="n">
        <v>200</v>
      </c>
      <c r="I194" s="8" t="n">
        <v>0</v>
      </c>
      <c r="J194" s="9" t="n">
        <v>0</v>
      </c>
      <c r="K194" s="4">
        <f>IFERROR(INDEX('02_Employee_Master'!$D:$D,MATCH(A194,'02_Employee_Master'!$A:$A,0)),"")</f>
        <v/>
      </c>
      <c r="L194" s="4">
        <f>IFERROR(INDEX('02_Employee_Master'!$J:$J,MATCH(A194,'02_Employee_Master'!$A:$A,0)),"")</f>
        <v/>
      </c>
    </row>
    <row r="195">
      <c r="A195" s="4" t="inlineStr">
        <is>
          <t>E194</t>
        </is>
      </c>
      <c r="B195" s="4" t="inlineStr">
        <is>
          <t>C035</t>
        </is>
      </c>
      <c r="C195" s="8" t="n">
        <v>91776</v>
      </c>
      <c r="D195" s="8" t="n">
        <v>84649</v>
      </c>
      <c r="E195" s="8" t="n">
        <v>84649</v>
      </c>
      <c r="F195" s="8" t="n">
        <v>6927</v>
      </c>
      <c r="G195" s="8" t="n">
        <v>0</v>
      </c>
      <c r="H195" s="8" t="n">
        <v>200</v>
      </c>
      <c r="I195" s="8" t="n">
        <v>0</v>
      </c>
      <c r="J195" s="9" t="n">
        <v>0</v>
      </c>
      <c r="K195" s="4">
        <f>IFERROR(INDEX('02_Employee_Master'!$D:$D,MATCH(A195,'02_Employee_Master'!$A:$A,0)),"")</f>
        <v/>
      </c>
      <c r="L195" s="4">
        <f>IFERROR(INDEX('02_Employee_Master'!$J:$J,MATCH(A195,'02_Employee_Master'!$A:$A,0)),"")</f>
        <v/>
      </c>
    </row>
    <row r="196">
      <c r="A196" s="4" t="inlineStr">
        <is>
          <t>E195</t>
        </is>
      </c>
      <c r="B196" s="4" t="inlineStr">
        <is>
          <t>C045</t>
        </is>
      </c>
      <c r="C196" s="8" t="n">
        <v>79674</v>
      </c>
      <c r="D196" s="8" t="n">
        <v>73826</v>
      </c>
      <c r="E196" s="8" t="n">
        <v>73826</v>
      </c>
      <c r="F196" s="8" t="n">
        <v>5648</v>
      </c>
      <c r="G196" s="8" t="n">
        <v>0</v>
      </c>
      <c r="H196" s="8" t="n">
        <v>200</v>
      </c>
      <c r="I196" s="8" t="n">
        <v>0</v>
      </c>
      <c r="J196" s="9" t="n">
        <v>0</v>
      </c>
      <c r="K196" s="4">
        <f>IFERROR(INDEX('02_Employee_Master'!$D:$D,MATCH(A196,'02_Employee_Master'!$A:$A,0)),"")</f>
        <v/>
      </c>
      <c r="L196" s="4">
        <f>IFERROR(INDEX('02_Employee_Master'!$J:$J,MATCH(A196,'02_Employee_Master'!$A:$A,0)),"")</f>
        <v/>
      </c>
    </row>
    <row r="197">
      <c r="A197" s="4" t="inlineStr">
        <is>
          <t>E196</t>
        </is>
      </c>
      <c r="B197" s="4" t="inlineStr">
        <is>
          <t>C016</t>
        </is>
      </c>
      <c r="C197" s="8" t="n">
        <v>41254</v>
      </c>
      <c r="D197" s="8" t="n">
        <v>38191</v>
      </c>
      <c r="E197" s="8" t="n">
        <v>38191</v>
      </c>
      <c r="F197" s="8" t="n">
        <v>2863</v>
      </c>
      <c r="G197" s="8" t="n">
        <v>0</v>
      </c>
      <c r="H197" s="8" t="n">
        <v>200</v>
      </c>
      <c r="I197" s="8" t="n">
        <v>0</v>
      </c>
      <c r="J197" s="9" t="n">
        <v>0</v>
      </c>
      <c r="K197" s="4">
        <f>IFERROR(INDEX('02_Employee_Master'!$D:$D,MATCH(A197,'02_Employee_Master'!$A:$A,0)),"")</f>
        <v/>
      </c>
      <c r="L197" s="4">
        <f>IFERROR(INDEX('02_Employee_Master'!$J:$J,MATCH(A197,'02_Employee_Master'!$A:$A,0)),"")</f>
        <v/>
      </c>
    </row>
    <row r="198">
      <c r="A198" s="4" t="inlineStr">
        <is>
          <t>E197</t>
        </is>
      </c>
      <c r="B198" s="4" t="inlineStr">
        <is>
          <t>C016</t>
        </is>
      </c>
      <c r="C198" s="8" t="n">
        <v>90349</v>
      </c>
      <c r="D198" s="8" t="n">
        <v>83041</v>
      </c>
      <c r="E198" s="8" t="n">
        <v>83041</v>
      </c>
      <c r="F198" s="8" t="n">
        <v>7108</v>
      </c>
      <c r="G198" s="8" t="n">
        <v>0</v>
      </c>
      <c r="H198" s="8" t="n">
        <v>200</v>
      </c>
      <c r="I198" s="8" t="n">
        <v>0</v>
      </c>
      <c r="J198" s="9" t="n">
        <v>0</v>
      </c>
      <c r="K198" s="4">
        <f>IFERROR(INDEX('02_Employee_Master'!$D:$D,MATCH(A198,'02_Employee_Master'!$A:$A,0)),"")</f>
        <v/>
      </c>
      <c r="L198" s="4">
        <f>IFERROR(INDEX('02_Employee_Master'!$J:$J,MATCH(A198,'02_Employee_Master'!$A:$A,0)),"")</f>
        <v/>
      </c>
    </row>
    <row r="199">
      <c r="A199" s="4" t="inlineStr">
        <is>
          <t>E198</t>
        </is>
      </c>
      <c r="B199" s="4" t="inlineStr">
        <is>
          <t>C005</t>
        </is>
      </c>
      <c r="C199" s="8" t="n">
        <v>67945</v>
      </c>
      <c r="D199" s="8" t="n">
        <v>63051</v>
      </c>
      <c r="E199" s="8" t="n">
        <v>58357</v>
      </c>
      <c r="F199" s="8" t="n">
        <v>4694</v>
      </c>
      <c r="G199" s="8" t="n">
        <v>0</v>
      </c>
      <c r="H199" s="8" t="n">
        <v>200</v>
      </c>
      <c r="I199" s="8" t="n">
        <v>0</v>
      </c>
      <c r="J199" s="9" t="n">
        <v>-4694</v>
      </c>
      <c r="K199" s="4">
        <f>IFERROR(INDEX('02_Employee_Master'!$D:$D,MATCH(A199,'02_Employee_Master'!$A:$A,0)),"")</f>
        <v/>
      </c>
      <c r="L199" s="4">
        <f>IFERROR(INDEX('02_Employee_Master'!$J:$J,MATCH(A199,'02_Employee_Master'!$A:$A,0)),"")</f>
        <v/>
      </c>
    </row>
    <row r="200">
      <c r="A200" s="4" t="inlineStr">
        <is>
          <t>E199</t>
        </is>
      </c>
      <c r="B200" s="4" t="inlineStr">
        <is>
          <t>C032</t>
        </is>
      </c>
      <c r="C200" s="8" t="n">
        <v>40875</v>
      </c>
      <c r="D200" s="8" t="n">
        <v>38686</v>
      </c>
      <c r="E200" s="8" t="n">
        <v>38686</v>
      </c>
      <c r="F200" s="8" t="n">
        <v>1989</v>
      </c>
      <c r="G200" s="8" t="n">
        <v>0</v>
      </c>
      <c r="H200" s="8" t="n">
        <v>200</v>
      </c>
      <c r="I200" s="8" t="n">
        <v>0</v>
      </c>
      <c r="J200" s="9" t="n">
        <v>0</v>
      </c>
      <c r="K200" s="4">
        <f>IFERROR(INDEX('02_Employee_Master'!$D:$D,MATCH(A200,'02_Employee_Master'!$A:$A,0)),"")</f>
        <v/>
      </c>
      <c r="L200" s="4">
        <f>IFERROR(INDEX('02_Employee_Master'!$J:$J,MATCH(A200,'02_Employee_Master'!$A:$A,0)),"")</f>
        <v/>
      </c>
    </row>
    <row r="201">
      <c r="A201" s="4" t="inlineStr">
        <is>
          <t>E200</t>
        </is>
      </c>
      <c r="B201" s="4" t="inlineStr">
        <is>
          <t>C001</t>
        </is>
      </c>
      <c r="C201" s="8" t="n">
        <v>53432</v>
      </c>
      <c r="D201" s="8" t="n">
        <v>50114</v>
      </c>
      <c r="E201" s="8" t="n">
        <v>50114</v>
      </c>
      <c r="F201" s="8" t="n">
        <v>3118</v>
      </c>
      <c r="G201" s="8" t="n">
        <v>0</v>
      </c>
      <c r="H201" s="8" t="n">
        <v>200</v>
      </c>
      <c r="I201" s="8" t="n">
        <v>0</v>
      </c>
      <c r="J201" s="9" t="n">
        <v>0</v>
      </c>
      <c r="K201" s="4">
        <f>IFERROR(INDEX('02_Employee_Master'!$D:$D,MATCH(A201,'02_Employee_Master'!$A:$A,0)),"")</f>
        <v/>
      </c>
      <c r="L201" s="4">
        <f>IFERROR(INDEX('02_Employee_Master'!$J:$J,MATCH(A201,'02_Employee_Master'!$A:$A,0)),"")</f>
        <v/>
      </c>
    </row>
    <row r="202">
      <c r="A202" s="4" t="inlineStr">
        <is>
          <t>E201</t>
        </is>
      </c>
      <c r="B202" s="4" t="inlineStr">
        <is>
          <t>C025</t>
        </is>
      </c>
      <c r="C202" s="8" t="n">
        <v>51184</v>
      </c>
      <c r="D202" s="8" t="n">
        <v>46901</v>
      </c>
      <c r="E202" s="8" t="n">
        <v>47611</v>
      </c>
      <c r="F202" s="8" t="n">
        <v>4083</v>
      </c>
      <c r="G202" s="8" t="n">
        <v>0</v>
      </c>
      <c r="H202" s="8" t="n">
        <v>200</v>
      </c>
      <c r="I202" s="8" t="n">
        <v>0</v>
      </c>
      <c r="J202" s="9" t="n">
        <v>710</v>
      </c>
      <c r="K202" s="4">
        <f>IFERROR(INDEX('02_Employee_Master'!$D:$D,MATCH(A202,'02_Employee_Master'!$A:$A,0)),"")</f>
        <v/>
      </c>
      <c r="L202" s="4">
        <f>IFERROR(INDEX('02_Employee_Master'!$J:$J,MATCH(A202,'02_Employee_Master'!$A:$A,0)),"")</f>
        <v/>
      </c>
    </row>
    <row r="203">
      <c r="A203" s="4" t="inlineStr">
        <is>
          <t>E202</t>
        </is>
      </c>
      <c r="B203" s="4" t="inlineStr">
        <is>
          <t>C043</t>
        </is>
      </c>
      <c r="C203" s="8" t="n">
        <v>105723</v>
      </c>
      <c r="D203" s="8" t="n">
        <v>94088</v>
      </c>
      <c r="E203" s="8" t="n">
        <v>94088</v>
      </c>
      <c r="F203" s="8" t="n">
        <v>8263</v>
      </c>
      <c r="G203" s="8" t="n">
        <v>0</v>
      </c>
      <c r="H203" s="8" t="n">
        <v>200</v>
      </c>
      <c r="I203" s="8" t="n">
        <v>3172</v>
      </c>
      <c r="J203" s="9" t="n">
        <v>0</v>
      </c>
      <c r="K203" s="4">
        <f>IFERROR(INDEX('02_Employee_Master'!$D:$D,MATCH(A203,'02_Employee_Master'!$A:$A,0)),"")</f>
        <v/>
      </c>
      <c r="L203" s="4">
        <f>IFERROR(INDEX('02_Employee_Master'!$J:$J,MATCH(A203,'02_Employee_Master'!$A:$A,0)),"")</f>
        <v/>
      </c>
    </row>
    <row r="204">
      <c r="A204" s="4" t="inlineStr">
        <is>
          <t>E203</t>
        </is>
      </c>
      <c r="B204" s="4" t="inlineStr">
        <is>
          <t>C001</t>
        </is>
      </c>
      <c r="C204" s="8" t="n">
        <v>84301</v>
      </c>
      <c r="D204" s="8" t="n">
        <v>77234</v>
      </c>
      <c r="E204" s="8" t="n">
        <v>77234</v>
      </c>
      <c r="F204" s="8" t="n">
        <v>6867</v>
      </c>
      <c r="G204" s="8" t="n">
        <v>0</v>
      </c>
      <c r="H204" s="8" t="n">
        <v>200</v>
      </c>
      <c r="I204" s="8" t="n">
        <v>0</v>
      </c>
      <c r="J204" s="9" t="n">
        <v>0</v>
      </c>
      <c r="K204" s="4">
        <f>IFERROR(INDEX('02_Employee_Master'!$D:$D,MATCH(A204,'02_Employee_Master'!$A:$A,0)),"")</f>
        <v/>
      </c>
      <c r="L204" s="4">
        <f>IFERROR(INDEX('02_Employee_Master'!$J:$J,MATCH(A204,'02_Employee_Master'!$A:$A,0)),"")</f>
        <v/>
      </c>
    </row>
    <row r="205">
      <c r="A205" s="4" t="inlineStr">
        <is>
          <t>E204</t>
        </is>
      </c>
      <c r="B205" s="4" t="inlineStr">
        <is>
          <t>C022</t>
        </is>
      </c>
      <c r="C205" s="8" t="n">
        <v>116150</v>
      </c>
      <c r="D205" s="8" t="n">
        <v>103696</v>
      </c>
      <c r="E205" s="8" t="n">
        <v>103696</v>
      </c>
      <c r="F205" s="8" t="n">
        <v>8770</v>
      </c>
      <c r="G205" s="8" t="n">
        <v>0</v>
      </c>
      <c r="H205" s="8" t="n">
        <v>200</v>
      </c>
      <c r="I205" s="8" t="n">
        <v>3484</v>
      </c>
      <c r="J205" s="9" t="n">
        <v>0</v>
      </c>
      <c r="K205" s="4">
        <f>IFERROR(INDEX('02_Employee_Master'!$D:$D,MATCH(A205,'02_Employee_Master'!$A:$A,0)),"")</f>
        <v/>
      </c>
      <c r="L205" s="4">
        <f>IFERROR(INDEX('02_Employee_Master'!$J:$J,MATCH(A205,'02_Employee_Master'!$A:$A,0)),"")</f>
        <v/>
      </c>
    </row>
    <row r="206">
      <c r="A206" s="4" t="inlineStr">
        <is>
          <t>E205</t>
        </is>
      </c>
      <c r="B206" s="4" t="inlineStr">
        <is>
          <t>C050</t>
        </is>
      </c>
      <c r="C206" s="8" t="n">
        <v>53104</v>
      </c>
      <c r="D206" s="8" t="n">
        <v>48865</v>
      </c>
      <c r="E206" s="8" t="n">
        <v>48865</v>
      </c>
      <c r="F206" s="8" t="n">
        <v>4039</v>
      </c>
      <c r="G206" s="8" t="n">
        <v>0</v>
      </c>
      <c r="H206" s="8" t="n">
        <v>200</v>
      </c>
      <c r="I206" s="8" t="n">
        <v>0</v>
      </c>
      <c r="J206" s="9" t="n">
        <v>0</v>
      </c>
      <c r="K206" s="4">
        <f>IFERROR(INDEX('02_Employee_Master'!$D:$D,MATCH(A206,'02_Employee_Master'!$A:$A,0)),"")</f>
        <v/>
      </c>
      <c r="L206" s="4">
        <f>IFERROR(INDEX('02_Employee_Master'!$J:$J,MATCH(A206,'02_Employee_Master'!$A:$A,0)),"")</f>
        <v/>
      </c>
    </row>
    <row r="207">
      <c r="A207" s="4" t="inlineStr">
        <is>
          <t>E206</t>
        </is>
      </c>
      <c r="B207" s="4" t="inlineStr">
        <is>
          <t>C041</t>
        </is>
      </c>
      <c r="C207" s="8" t="n">
        <v>94297</v>
      </c>
      <c r="D207" s="8" t="n">
        <v>86875</v>
      </c>
      <c r="E207" s="8" t="n">
        <v>86875</v>
      </c>
      <c r="F207" s="8" t="n">
        <v>7222</v>
      </c>
      <c r="G207" s="8" t="n">
        <v>0</v>
      </c>
      <c r="H207" s="8" t="n">
        <v>200</v>
      </c>
      <c r="I207" s="8" t="n">
        <v>0</v>
      </c>
      <c r="J207" s="9" t="n">
        <v>0</v>
      </c>
      <c r="K207" s="4">
        <f>IFERROR(INDEX('02_Employee_Master'!$D:$D,MATCH(A207,'02_Employee_Master'!$A:$A,0)),"")</f>
        <v/>
      </c>
      <c r="L207" s="4">
        <f>IFERROR(INDEX('02_Employee_Master'!$J:$J,MATCH(A207,'02_Employee_Master'!$A:$A,0)),"")</f>
        <v/>
      </c>
    </row>
    <row r="208">
      <c r="A208" s="4" t="inlineStr">
        <is>
          <t>E207</t>
        </is>
      </c>
      <c r="B208" s="4" t="inlineStr">
        <is>
          <t>C006</t>
        </is>
      </c>
      <c r="C208" s="8" t="n">
        <v>122319</v>
      </c>
      <c r="D208" s="8" t="n">
        <v>103079</v>
      </c>
      <c r="E208" s="8" t="n">
        <v>103049</v>
      </c>
      <c r="F208" s="8" t="n">
        <v>9881</v>
      </c>
      <c r="G208" s="8" t="n">
        <v>0</v>
      </c>
      <c r="H208" s="8" t="n">
        <v>200</v>
      </c>
      <c r="I208" s="8" t="n">
        <v>3670</v>
      </c>
      <c r="J208" s="9" t="n">
        <v>-30</v>
      </c>
      <c r="K208" s="4">
        <f>IFERROR(INDEX('02_Employee_Master'!$D:$D,MATCH(A208,'02_Employee_Master'!$A:$A,0)),"")</f>
        <v/>
      </c>
      <c r="L208" s="4">
        <f>IFERROR(INDEX('02_Employee_Master'!$J:$J,MATCH(A208,'02_Employee_Master'!$A:$A,0)),"")</f>
        <v/>
      </c>
    </row>
    <row r="209">
      <c r="A209" s="4" t="inlineStr">
        <is>
          <t>E208</t>
        </is>
      </c>
      <c r="B209" s="4" t="inlineStr">
        <is>
          <t>C006</t>
        </is>
      </c>
      <c r="C209" s="8" t="n">
        <v>42560</v>
      </c>
      <c r="D209" s="8" t="n">
        <v>39682</v>
      </c>
      <c r="E209" s="8" t="n">
        <v>39605</v>
      </c>
      <c r="F209" s="8" t="n">
        <v>2678</v>
      </c>
      <c r="G209" s="8" t="n">
        <v>0</v>
      </c>
      <c r="H209" s="8" t="n">
        <v>200</v>
      </c>
      <c r="I209" s="8" t="n">
        <v>0</v>
      </c>
      <c r="J209" s="9" t="n">
        <v>-77</v>
      </c>
      <c r="K209" s="4">
        <f>IFERROR(INDEX('02_Employee_Master'!$D:$D,MATCH(A209,'02_Employee_Master'!$A:$A,0)),"")</f>
        <v/>
      </c>
      <c r="L209" s="4">
        <f>IFERROR(INDEX('02_Employee_Master'!$J:$J,MATCH(A209,'02_Employee_Master'!$A:$A,0)),"")</f>
        <v/>
      </c>
    </row>
    <row r="210">
      <c r="A210" s="4" t="inlineStr">
        <is>
          <t>E209</t>
        </is>
      </c>
      <c r="B210" s="4" t="inlineStr">
        <is>
          <t>C034</t>
        </is>
      </c>
      <c r="C210" s="8" t="n">
        <v>52250</v>
      </c>
      <c r="D210" s="8" t="n">
        <v>48050</v>
      </c>
      <c r="E210" s="8" t="n">
        <v>48050</v>
      </c>
      <c r="F210" s="8" t="n">
        <v>4000</v>
      </c>
      <c r="G210" s="8" t="n">
        <v>0</v>
      </c>
      <c r="H210" s="8" t="n">
        <v>200</v>
      </c>
      <c r="I210" s="8" t="n">
        <v>0</v>
      </c>
      <c r="J210" s="9" t="n">
        <v>0</v>
      </c>
      <c r="K210" s="4">
        <f>IFERROR(INDEX('02_Employee_Master'!$D:$D,MATCH(A210,'02_Employee_Master'!$A:$A,0)),"")</f>
        <v/>
      </c>
      <c r="L210" s="4">
        <f>IFERROR(INDEX('02_Employee_Master'!$J:$J,MATCH(A210,'02_Employee_Master'!$A:$A,0)),"")</f>
        <v/>
      </c>
    </row>
    <row r="211">
      <c r="A211" s="4" t="inlineStr">
        <is>
          <t>E210</t>
        </is>
      </c>
      <c r="B211" s="4" t="inlineStr">
        <is>
          <t>C041</t>
        </is>
      </c>
      <c r="C211" s="8" t="n">
        <v>104300</v>
      </c>
      <c r="D211" s="8" t="n">
        <v>92659</v>
      </c>
      <c r="E211" s="8" t="n">
        <v>92659</v>
      </c>
      <c r="F211" s="8" t="n">
        <v>8312</v>
      </c>
      <c r="G211" s="8" t="n">
        <v>0</v>
      </c>
      <c r="H211" s="8" t="n">
        <v>200</v>
      </c>
      <c r="I211" s="8" t="n">
        <v>3129</v>
      </c>
      <c r="J211" s="9" t="n">
        <v>0</v>
      </c>
      <c r="K211" s="4">
        <f>IFERROR(INDEX('02_Employee_Master'!$D:$D,MATCH(A211,'02_Employee_Master'!$A:$A,0)),"")</f>
        <v/>
      </c>
      <c r="L211" s="4">
        <f>IFERROR(INDEX('02_Employee_Master'!$J:$J,MATCH(A211,'02_Employee_Master'!$A:$A,0)),"")</f>
        <v/>
      </c>
    </row>
    <row r="212">
      <c r="A212" s="4" t="inlineStr">
        <is>
          <t>E211</t>
        </is>
      </c>
      <c r="B212" s="4" t="inlineStr">
        <is>
          <t>C036</t>
        </is>
      </c>
      <c r="C212" s="8" t="n">
        <v>112674</v>
      </c>
      <c r="D212" s="8" t="n">
        <v>100445</v>
      </c>
      <c r="E212" s="8" t="n">
        <v>100445</v>
      </c>
      <c r="F212" s="8" t="n">
        <v>8649</v>
      </c>
      <c r="G212" s="8" t="n">
        <v>0</v>
      </c>
      <c r="H212" s="8" t="n">
        <v>200</v>
      </c>
      <c r="I212" s="8" t="n">
        <v>3380</v>
      </c>
      <c r="J212" s="9" t="n">
        <v>0</v>
      </c>
      <c r="K212" s="4">
        <f>IFERROR(INDEX('02_Employee_Master'!$D:$D,MATCH(A212,'02_Employee_Master'!$A:$A,0)),"")</f>
        <v/>
      </c>
      <c r="L212" s="4">
        <f>IFERROR(INDEX('02_Employee_Master'!$J:$J,MATCH(A212,'02_Employee_Master'!$A:$A,0)),"")</f>
        <v/>
      </c>
    </row>
    <row r="213">
      <c r="A213" s="4" t="inlineStr">
        <is>
          <t>E212</t>
        </is>
      </c>
      <c r="B213" s="4" t="inlineStr">
        <is>
          <t>C002</t>
        </is>
      </c>
      <c r="C213" s="8" t="n">
        <v>76213</v>
      </c>
      <c r="D213" s="8" t="n">
        <v>71828</v>
      </c>
      <c r="E213" s="8" t="n">
        <v>71828</v>
      </c>
      <c r="F213" s="8" t="n">
        <v>4185</v>
      </c>
      <c r="G213" s="8" t="n">
        <v>0</v>
      </c>
      <c r="H213" s="8" t="n">
        <v>200</v>
      </c>
      <c r="I213" s="8" t="n">
        <v>0</v>
      </c>
      <c r="J213" s="9" t="n">
        <v>0</v>
      </c>
      <c r="K213" s="4">
        <f>IFERROR(INDEX('02_Employee_Master'!$D:$D,MATCH(A213,'02_Employee_Master'!$A:$A,0)),"")</f>
        <v/>
      </c>
      <c r="L213" s="4">
        <f>IFERROR(INDEX('02_Employee_Master'!$J:$J,MATCH(A213,'02_Employee_Master'!$A:$A,0)),"")</f>
        <v/>
      </c>
    </row>
    <row r="214">
      <c r="A214" s="4" t="inlineStr">
        <is>
          <t>E213</t>
        </is>
      </c>
      <c r="B214" s="4" t="inlineStr">
        <is>
          <t>C036</t>
        </is>
      </c>
      <c r="C214" s="8" t="n">
        <v>95932</v>
      </c>
      <c r="D214" s="8" t="n">
        <v>83882</v>
      </c>
      <c r="E214" s="8" t="n">
        <v>83882</v>
      </c>
      <c r="F214" s="8" t="n">
        <v>7618</v>
      </c>
      <c r="G214" s="8" t="n">
        <v>0</v>
      </c>
      <c r="H214" s="8" t="n">
        <v>200</v>
      </c>
      <c r="I214" s="8" t="n">
        <v>0</v>
      </c>
      <c r="J214" s="9" t="n">
        <v>0</v>
      </c>
      <c r="K214" s="4">
        <f>IFERROR(INDEX('02_Employee_Master'!$D:$D,MATCH(A214,'02_Employee_Master'!$A:$A,0)),"")</f>
        <v/>
      </c>
      <c r="L214" s="4">
        <f>IFERROR(INDEX('02_Employee_Master'!$J:$J,MATCH(A214,'02_Employee_Master'!$A:$A,0)),"")</f>
        <v/>
      </c>
    </row>
    <row r="215">
      <c r="A215" s="4" t="inlineStr">
        <is>
          <t>E214</t>
        </is>
      </c>
      <c r="B215" s="4" t="inlineStr">
        <is>
          <t>C008</t>
        </is>
      </c>
      <c r="C215" s="8" t="n">
        <v>135762</v>
      </c>
      <c r="D215" s="8" t="n">
        <v>120711</v>
      </c>
      <c r="E215" s="8" t="n">
        <v>120711</v>
      </c>
      <c r="F215" s="8" t="n">
        <v>10778</v>
      </c>
      <c r="G215" s="8" t="n">
        <v>0</v>
      </c>
      <c r="H215" s="8" t="n">
        <v>200</v>
      </c>
      <c r="I215" s="8" t="n">
        <v>4073</v>
      </c>
      <c r="J215" s="9" t="n">
        <v>0</v>
      </c>
      <c r="K215" s="4">
        <f>IFERROR(INDEX('02_Employee_Master'!$D:$D,MATCH(A215,'02_Employee_Master'!$A:$A,0)),"")</f>
        <v/>
      </c>
      <c r="L215" s="4">
        <f>IFERROR(INDEX('02_Employee_Master'!$J:$J,MATCH(A215,'02_Employee_Master'!$A:$A,0)),"")</f>
        <v/>
      </c>
    </row>
    <row r="216">
      <c r="A216" s="4" t="inlineStr">
        <is>
          <t>E215</t>
        </is>
      </c>
      <c r="B216" s="4" t="inlineStr">
        <is>
          <t>C049</t>
        </is>
      </c>
      <c r="C216" s="8" t="n">
        <v>77309</v>
      </c>
      <c r="D216" s="8" t="n">
        <v>71468</v>
      </c>
      <c r="E216" s="8" t="n">
        <v>71468</v>
      </c>
      <c r="F216" s="8" t="n">
        <v>5641</v>
      </c>
      <c r="G216" s="8" t="n">
        <v>0</v>
      </c>
      <c r="H216" s="8" t="n">
        <v>200</v>
      </c>
      <c r="I216" s="8" t="n">
        <v>0</v>
      </c>
      <c r="J216" s="9" t="n">
        <v>0</v>
      </c>
      <c r="K216" s="4">
        <f>IFERROR(INDEX('02_Employee_Master'!$D:$D,MATCH(A216,'02_Employee_Master'!$A:$A,0)),"")</f>
        <v/>
      </c>
      <c r="L216" s="4">
        <f>IFERROR(INDEX('02_Employee_Master'!$J:$J,MATCH(A216,'02_Employee_Master'!$A:$A,0)),"")</f>
        <v/>
      </c>
    </row>
    <row r="217">
      <c r="A217" s="4" t="inlineStr">
        <is>
          <t>E216</t>
        </is>
      </c>
      <c r="B217" s="4" t="inlineStr">
        <is>
          <t>C034</t>
        </is>
      </c>
      <c r="C217" s="8" t="n">
        <v>82179</v>
      </c>
      <c r="D217" s="8" t="n">
        <v>75984</v>
      </c>
      <c r="E217" s="8" t="n">
        <v>75984</v>
      </c>
      <c r="F217" s="8" t="n">
        <v>5995</v>
      </c>
      <c r="G217" s="8" t="n">
        <v>0</v>
      </c>
      <c r="H217" s="8" t="n">
        <v>200</v>
      </c>
      <c r="I217" s="8" t="n">
        <v>0</v>
      </c>
      <c r="J217" s="9" t="n">
        <v>0</v>
      </c>
      <c r="K217" s="4">
        <f>IFERROR(INDEX('02_Employee_Master'!$D:$D,MATCH(A217,'02_Employee_Master'!$A:$A,0)),"")</f>
        <v/>
      </c>
      <c r="L217" s="4">
        <f>IFERROR(INDEX('02_Employee_Master'!$J:$J,MATCH(A217,'02_Employee_Master'!$A:$A,0)),"")</f>
        <v/>
      </c>
    </row>
    <row r="218">
      <c r="A218" s="4" t="inlineStr">
        <is>
          <t>E217</t>
        </is>
      </c>
      <c r="B218" s="4" t="inlineStr">
        <is>
          <t>C014</t>
        </is>
      </c>
      <c r="C218" s="8" t="n">
        <v>112066</v>
      </c>
      <c r="D218" s="8" t="n">
        <v>99439</v>
      </c>
      <c r="E218" s="8" t="n">
        <v>99439</v>
      </c>
      <c r="F218" s="8" t="n">
        <v>9065</v>
      </c>
      <c r="G218" s="8" t="n">
        <v>0</v>
      </c>
      <c r="H218" s="8" t="n">
        <v>200</v>
      </c>
      <c r="I218" s="8" t="n">
        <v>3362</v>
      </c>
      <c r="J218" s="9" t="n">
        <v>0</v>
      </c>
      <c r="K218" s="4">
        <f>IFERROR(INDEX('02_Employee_Master'!$D:$D,MATCH(A218,'02_Employee_Master'!$A:$A,0)),"")</f>
        <v/>
      </c>
      <c r="L218" s="4">
        <f>IFERROR(INDEX('02_Employee_Master'!$J:$J,MATCH(A218,'02_Employee_Master'!$A:$A,0)),"")</f>
        <v/>
      </c>
    </row>
    <row r="219">
      <c r="A219" s="4" t="inlineStr">
        <is>
          <t>E218</t>
        </is>
      </c>
      <c r="B219" s="4" t="inlineStr">
        <is>
          <t>C048</t>
        </is>
      </c>
      <c r="C219" s="8" t="n">
        <v>37493</v>
      </c>
      <c r="D219" s="8" t="n">
        <v>34910</v>
      </c>
      <c r="E219" s="8" t="n">
        <v>34840</v>
      </c>
      <c r="F219" s="8" t="n">
        <v>2383</v>
      </c>
      <c r="G219" s="8" t="n">
        <v>0</v>
      </c>
      <c r="H219" s="8" t="n">
        <v>200</v>
      </c>
      <c r="I219" s="8" t="n">
        <v>0</v>
      </c>
      <c r="J219" s="9" t="n">
        <v>-70</v>
      </c>
      <c r="K219" s="4">
        <f>IFERROR(INDEX('02_Employee_Master'!$D:$D,MATCH(A219,'02_Employee_Master'!$A:$A,0)),"")</f>
        <v/>
      </c>
      <c r="L219" s="4">
        <f>IFERROR(INDEX('02_Employee_Master'!$J:$J,MATCH(A219,'02_Employee_Master'!$A:$A,0)),"")</f>
        <v/>
      </c>
    </row>
    <row r="220">
      <c r="A220" s="4" t="inlineStr">
        <is>
          <t>E219</t>
        </is>
      </c>
      <c r="B220" s="4" t="inlineStr">
        <is>
          <t>C017</t>
        </is>
      </c>
      <c r="C220" s="8" t="n">
        <v>123842</v>
      </c>
      <c r="D220" s="8" t="n">
        <v>110324</v>
      </c>
      <c r="E220" s="8" t="n">
        <v>110324</v>
      </c>
      <c r="F220" s="8" t="n">
        <v>9603</v>
      </c>
      <c r="G220" s="8" t="n">
        <v>0</v>
      </c>
      <c r="H220" s="8" t="n">
        <v>200</v>
      </c>
      <c r="I220" s="8" t="n">
        <v>3715</v>
      </c>
      <c r="J220" s="9" t="n">
        <v>0</v>
      </c>
      <c r="K220" s="4">
        <f>IFERROR(INDEX('02_Employee_Master'!$D:$D,MATCH(A220,'02_Employee_Master'!$A:$A,0)),"")</f>
        <v/>
      </c>
      <c r="L220" s="4">
        <f>IFERROR(INDEX('02_Employee_Master'!$J:$J,MATCH(A220,'02_Employee_Master'!$A:$A,0)),"")</f>
        <v/>
      </c>
    </row>
    <row r="221">
      <c r="A221" s="4" t="inlineStr">
        <is>
          <t>E220</t>
        </is>
      </c>
      <c r="B221" s="4" t="inlineStr">
        <is>
          <t>C021</t>
        </is>
      </c>
      <c r="C221" s="8" t="n">
        <v>42062</v>
      </c>
      <c r="D221" s="8" t="n">
        <v>37904</v>
      </c>
      <c r="E221" s="8" t="n">
        <v>37904</v>
      </c>
      <c r="F221" s="8" t="n">
        <v>3098</v>
      </c>
      <c r="G221" s="8" t="n">
        <v>0</v>
      </c>
      <c r="H221" s="8" t="n">
        <v>200</v>
      </c>
      <c r="I221" s="8" t="n">
        <v>0</v>
      </c>
      <c r="J221" s="9" t="n">
        <v>0</v>
      </c>
      <c r="K221" s="4">
        <f>IFERROR(INDEX('02_Employee_Master'!$D:$D,MATCH(A221,'02_Employee_Master'!$A:$A,0)),"")</f>
        <v/>
      </c>
      <c r="L221" s="4">
        <f>IFERROR(INDEX('02_Employee_Master'!$J:$J,MATCH(A221,'02_Employee_Master'!$A:$A,0)),"")</f>
        <v/>
      </c>
    </row>
    <row r="222">
      <c r="A222" s="4" t="inlineStr">
        <is>
          <t>E221</t>
        </is>
      </c>
      <c r="B222" s="4" t="inlineStr">
        <is>
          <t>C022</t>
        </is>
      </c>
      <c r="C222" s="8" t="n">
        <v>88256</v>
      </c>
      <c r="D222" s="8" t="n">
        <v>81422</v>
      </c>
      <c r="E222" s="8" t="n">
        <v>81422</v>
      </c>
      <c r="F222" s="8" t="n">
        <v>6634</v>
      </c>
      <c r="G222" s="8" t="n">
        <v>0</v>
      </c>
      <c r="H222" s="8" t="n">
        <v>200</v>
      </c>
      <c r="I222" s="8" t="n">
        <v>0</v>
      </c>
      <c r="J222" s="9" t="n">
        <v>0</v>
      </c>
      <c r="K222" s="4">
        <f>IFERROR(INDEX('02_Employee_Master'!$D:$D,MATCH(A222,'02_Employee_Master'!$A:$A,0)),"")</f>
        <v/>
      </c>
      <c r="L222" s="4">
        <f>IFERROR(INDEX('02_Employee_Master'!$J:$J,MATCH(A222,'02_Employee_Master'!$A:$A,0)),"")</f>
        <v/>
      </c>
    </row>
    <row r="223">
      <c r="A223" s="4" t="inlineStr">
        <is>
          <t>E222</t>
        </is>
      </c>
      <c r="B223" s="4" t="inlineStr">
        <is>
          <t>C034</t>
        </is>
      </c>
      <c r="C223" s="8" t="n">
        <v>110598</v>
      </c>
      <c r="D223" s="8" t="n">
        <v>98969</v>
      </c>
      <c r="E223" s="8" t="n">
        <v>98969</v>
      </c>
      <c r="F223" s="8" t="n">
        <v>8111</v>
      </c>
      <c r="G223" s="8" t="n">
        <v>0</v>
      </c>
      <c r="H223" s="8" t="n">
        <v>200</v>
      </c>
      <c r="I223" s="8" t="n">
        <v>3318</v>
      </c>
      <c r="J223" s="9" t="n">
        <v>0</v>
      </c>
      <c r="K223" s="4">
        <f>IFERROR(INDEX('02_Employee_Master'!$D:$D,MATCH(A223,'02_Employee_Master'!$A:$A,0)),"")</f>
        <v/>
      </c>
      <c r="L223" s="4">
        <f>IFERROR(INDEX('02_Employee_Master'!$J:$J,MATCH(A223,'02_Employee_Master'!$A:$A,0)),"")</f>
        <v/>
      </c>
    </row>
    <row r="224">
      <c r="A224" s="4" t="inlineStr">
        <is>
          <t>E223</t>
        </is>
      </c>
      <c r="B224" s="4" t="inlineStr">
        <is>
          <t>C012</t>
        </is>
      </c>
      <c r="C224" s="8" t="n">
        <v>114057</v>
      </c>
      <c r="D224" s="8" t="n">
        <v>101796</v>
      </c>
      <c r="E224" s="8" t="n">
        <v>101796</v>
      </c>
      <c r="F224" s="8" t="n">
        <v>8639</v>
      </c>
      <c r="G224" s="8" t="n">
        <v>0</v>
      </c>
      <c r="H224" s="8" t="n">
        <v>200</v>
      </c>
      <c r="I224" s="8" t="n">
        <v>3422</v>
      </c>
      <c r="J224" s="9" t="n">
        <v>0</v>
      </c>
      <c r="K224" s="4">
        <f>IFERROR(INDEX('02_Employee_Master'!$D:$D,MATCH(A224,'02_Employee_Master'!$A:$A,0)),"")</f>
        <v/>
      </c>
      <c r="L224" s="4">
        <f>IFERROR(INDEX('02_Employee_Master'!$J:$J,MATCH(A224,'02_Employee_Master'!$A:$A,0)),"")</f>
        <v/>
      </c>
    </row>
    <row r="225">
      <c r="A225" s="4" t="inlineStr">
        <is>
          <t>E224</t>
        </is>
      </c>
      <c r="B225" s="4" t="inlineStr">
        <is>
          <t>C041</t>
        </is>
      </c>
      <c r="C225" s="8" t="n">
        <v>78291</v>
      </c>
      <c r="D225" s="8" t="n">
        <v>71662</v>
      </c>
      <c r="E225" s="8" t="n">
        <v>71662</v>
      </c>
      <c r="F225" s="8" t="n">
        <v>6429</v>
      </c>
      <c r="G225" s="8" t="n">
        <v>0</v>
      </c>
      <c r="H225" s="8" t="n">
        <v>200</v>
      </c>
      <c r="I225" s="8" t="n">
        <v>0</v>
      </c>
      <c r="J225" s="9" t="n">
        <v>0</v>
      </c>
      <c r="K225" s="4">
        <f>IFERROR(INDEX('02_Employee_Master'!$D:$D,MATCH(A225,'02_Employee_Master'!$A:$A,0)),"")</f>
        <v/>
      </c>
      <c r="L225" s="4">
        <f>IFERROR(INDEX('02_Employee_Master'!$J:$J,MATCH(A225,'02_Employee_Master'!$A:$A,0)),"")</f>
        <v/>
      </c>
    </row>
    <row r="226">
      <c r="A226" s="4" t="inlineStr">
        <is>
          <t>E225</t>
        </is>
      </c>
      <c r="B226" s="4" t="inlineStr">
        <is>
          <t>C030</t>
        </is>
      </c>
      <c r="C226" s="8" t="n">
        <v>122877</v>
      </c>
      <c r="D226" s="8" t="n">
        <v>106548</v>
      </c>
      <c r="E226" s="8" t="n">
        <v>106548</v>
      </c>
      <c r="F226" s="8" t="n">
        <v>9738</v>
      </c>
      <c r="G226" s="8" t="n">
        <v>0</v>
      </c>
      <c r="H226" s="8" t="n">
        <v>200</v>
      </c>
      <c r="I226" s="8" t="n">
        <v>3686</v>
      </c>
      <c r="J226" s="9" t="n">
        <v>0</v>
      </c>
      <c r="K226" s="4">
        <f>IFERROR(INDEX('02_Employee_Master'!$D:$D,MATCH(A226,'02_Employee_Master'!$A:$A,0)),"")</f>
        <v/>
      </c>
      <c r="L226" s="4">
        <f>IFERROR(INDEX('02_Employee_Master'!$J:$J,MATCH(A226,'02_Employee_Master'!$A:$A,0)),"")</f>
        <v/>
      </c>
    </row>
    <row r="227">
      <c r="A227" s="4" t="inlineStr">
        <is>
          <t>E226</t>
        </is>
      </c>
      <c r="B227" s="4" t="inlineStr">
        <is>
          <t>C031</t>
        </is>
      </c>
      <c r="C227" s="8" t="n">
        <v>32208</v>
      </c>
      <c r="D227" s="8" t="n">
        <v>28541</v>
      </c>
      <c r="E227" s="8" t="n">
        <v>28541</v>
      </c>
      <c r="F227" s="8" t="n">
        <v>2713</v>
      </c>
      <c r="G227" s="8" t="n">
        <v>0</v>
      </c>
      <c r="H227" s="8" t="n">
        <v>200</v>
      </c>
      <c r="I227" s="8" t="n">
        <v>0</v>
      </c>
      <c r="J227" s="9" t="n">
        <v>0</v>
      </c>
      <c r="K227" s="4">
        <f>IFERROR(INDEX('02_Employee_Master'!$D:$D,MATCH(A227,'02_Employee_Master'!$A:$A,0)),"")</f>
        <v/>
      </c>
      <c r="L227" s="4">
        <f>IFERROR(INDEX('02_Employee_Master'!$J:$J,MATCH(A227,'02_Employee_Master'!$A:$A,0)),"")</f>
        <v/>
      </c>
    </row>
    <row r="228">
      <c r="A228" s="4" t="inlineStr">
        <is>
          <t>E227</t>
        </is>
      </c>
      <c r="B228" s="4" t="inlineStr">
        <is>
          <t>C032</t>
        </is>
      </c>
      <c r="C228" s="8" t="n">
        <v>69732</v>
      </c>
      <c r="D228" s="8" t="n">
        <v>64631</v>
      </c>
      <c r="E228" s="8" t="n">
        <v>64631</v>
      </c>
      <c r="F228" s="8" t="n">
        <v>4901</v>
      </c>
      <c r="G228" s="8" t="n">
        <v>0</v>
      </c>
      <c r="H228" s="8" t="n">
        <v>200</v>
      </c>
      <c r="I228" s="8" t="n">
        <v>0</v>
      </c>
      <c r="J228" s="9" t="n">
        <v>0</v>
      </c>
      <c r="K228" s="4">
        <f>IFERROR(INDEX('02_Employee_Master'!$D:$D,MATCH(A228,'02_Employee_Master'!$A:$A,0)),"")</f>
        <v/>
      </c>
      <c r="L228" s="4">
        <f>IFERROR(INDEX('02_Employee_Master'!$J:$J,MATCH(A228,'02_Employee_Master'!$A:$A,0)),"")</f>
        <v/>
      </c>
    </row>
    <row r="229">
      <c r="A229" s="4" t="inlineStr">
        <is>
          <t>E228</t>
        </is>
      </c>
      <c r="B229" s="4" t="inlineStr">
        <is>
          <t>C007</t>
        </is>
      </c>
      <c r="C229" s="8" t="n">
        <v>132174</v>
      </c>
      <c r="D229" s="8" t="n">
        <v>117622</v>
      </c>
      <c r="E229" s="8" t="n">
        <v>117622</v>
      </c>
      <c r="F229" s="8" t="n">
        <v>10387</v>
      </c>
      <c r="G229" s="8" t="n">
        <v>0</v>
      </c>
      <c r="H229" s="8" t="n">
        <v>200</v>
      </c>
      <c r="I229" s="8" t="n">
        <v>3965</v>
      </c>
      <c r="J229" s="9" t="n">
        <v>0</v>
      </c>
      <c r="K229" s="4">
        <f>IFERROR(INDEX('02_Employee_Master'!$D:$D,MATCH(A229,'02_Employee_Master'!$A:$A,0)),"")</f>
        <v/>
      </c>
      <c r="L229" s="4">
        <f>IFERROR(INDEX('02_Employee_Master'!$J:$J,MATCH(A229,'02_Employee_Master'!$A:$A,0)),"")</f>
        <v/>
      </c>
    </row>
    <row r="230">
      <c r="A230" s="4" t="inlineStr">
        <is>
          <t>E229</t>
        </is>
      </c>
      <c r="B230" s="4" t="inlineStr">
        <is>
          <t>C028</t>
        </is>
      </c>
      <c r="C230" s="8" t="n">
        <v>98766</v>
      </c>
      <c r="D230" s="8" t="n">
        <v>91185</v>
      </c>
      <c r="E230" s="8" t="n">
        <v>91185</v>
      </c>
      <c r="F230" s="8" t="n">
        <v>7381</v>
      </c>
      <c r="G230" s="8" t="n">
        <v>0</v>
      </c>
      <c r="H230" s="8" t="n">
        <v>200</v>
      </c>
      <c r="I230" s="8" t="n">
        <v>0</v>
      </c>
      <c r="J230" s="9" t="n">
        <v>0</v>
      </c>
      <c r="K230" s="4">
        <f>IFERROR(INDEX('02_Employee_Master'!$D:$D,MATCH(A230,'02_Employee_Master'!$A:$A,0)),"")</f>
        <v/>
      </c>
      <c r="L230" s="4">
        <f>IFERROR(INDEX('02_Employee_Master'!$J:$J,MATCH(A230,'02_Employee_Master'!$A:$A,0)),"")</f>
        <v/>
      </c>
    </row>
    <row r="231">
      <c r="A231" s="4" t="inlineStr">
        <is>
          <t>E230</t>
        </is>
      </c>
      <c r="B231" s="4" t="inlineStr">
        <is>
          <t>C030</t>
        </is>
      </c>
      <c r="C231" s="8" t="n">
        <v>75397</v>
      </c>
      <c r="D231" s="8" t="n">
        <v>69383</v>
      </c>
      <c r="E231" s="8" t="n">
        <v>69383</v>
      </c>
      <c r="F231" s="8" t="n">
        <v>5814</v>
      </c>
      <c r="G231" s="8" t="n">
        <v>0</v>
      </c>
      <c r="H231" s="8" t="n">
        <v>200</v>
      </c>
      <c r="I231" s="8" t="n">
        <v>0</v>
      </c>
      <c r="J231" s="9" t="n">
        <v>0</v>
      </c>
      <c r="K231" s="4">
        <f>IFERROR(INDEX('02_Employee_Master'!$D:$D,MATCH(A231,'02_Employee_Master'!$A:$A,0)),"")</f>
        <v/>
      </c>
      <c r="L231" s="4">
        <f>IFERROR(INDEX('02_Employee_Master'!$J:$J,MATCH(A231,'02_Employee_Master'!$A:$A,0)),"")</f>
        <v/>
      </c>
    </row>
    <row r="232">
      <c r="A232" s="4" t="inlineStr">
        <is>
          <t>E231</t>
        </is>
      </c>
      <c r="B232" s="4" t="inlineStr">
        <is>
          <t>C031</t>
        </is>
      </c>
      <c r="C232" s="8" t="n">
        <v>115835</v>
      </c>
      <c r="D232" s="8" t="n">
        <v>103286</v>
      </c>
      <c r="E232" s="8" t="n">
        <v>103286</v>
      </c>
      <c r="F232" s="8" t="n">
        <v>8874</v>
      </c>
      <c r="G232" s="8" t="n">
        <v>0</v>
      </c>
      <c r="H232" s="8" t="n">
        <v>200</v>
      </c>
      <c r="I232" s="8" t="n">
        <v>3475</v>
      </c>
      <c r="J232" s="9" t="n">
        <v>0</v>
      </c>
      <c r="K232" s="4">
        <f>IFERROR(INDEX('02_Employee_Master'!$D:$D,MATCH(A232,'02_Employee_Master'!$A:$A,0)),"")</f>
        <v/>
      </c>
      <c r="L232" s="4">
        <f>IFERROR(INDEX('02_Employee_Master'!$J:$J,MATCH(A232,'02_Employee_Master'!$A:$A,0)),"")</f>
        <v/>
      </c>
    </row>
    <row r="233">
      <c r="A233" s="4" t="inlineStr">
        <is>
          <t>E178</t>
        </is>
      </c>
      <c r="B233" s="4" t="inlineStr">
        <is>
          <t>C033</t>
        </is>
      </c>
      <c r="C233" s="8" t="n">
        <v>92141</v>
      </c>
      <c r="D233" s="8" t="n">
        <v>82691</v>
      </c>
      <c r="E233" s="8" t="n">
        <v>82691</v>
      </c>
      <c r="F233" s="8" t="n">
        <v>7239</v>
      </c>
      <c r="G233" s="8" t="n">
        <v>0</v>
      </c>
      <c r="H233" s="8" t="n">
        <v>200</v>
      </c>
      <c r="I233" s="8" t="n">
        <v>0</v>
      </c>
      <c r="J233" s="9" t="n">
        <v>0</v>
      </c>
      <c r="K233" s="4">
        <f>IFERROR(INDEX('02_Employee_Master'!$D:$D,MATCH(A233,'02_Employee_Master'!$A:$A,0)),"")</f>
        <v/>
      </c>
      <c r="L233" s="4">
        <f>IFERROR(INDEX('02_Employee_Master'!$J:$J,MATCH(A233,'02_Employee_Master'!$A:$A,0)),"")</f>
        <v/>
      </c>
    </row>
    <row r="234">
      <c r="A234" s="4" t="inlineStr">
        <is>
          <t>E233</t>
        </is>
      </c>
      <c r="B234" s="4" t="inlineStr">
        <is>
          <t>C012</t>
        </is>
      </c>
      <c r="C234" s="8" t="n">
        <v>70169</v>
      </c>
      <c r="D234" s="8" t="n">
        <v>65164</v>
      </c>
      <c r="E234" s="8" t="n">
        <v>65164</v>
      </c>
      <c r="F234" s="8" t="n">
        <v>4805</v>
      </c>
      <c r="G234" s="8" t="n">
        <v>0</v>
      </c>
      <c r="H234" s="8" t="n">
        <v>200</v>
      </c>
      <c r="I234" s="8" t="n">
        <v>0</v>
      </c>
      <c r="J234" s="9" t="n">
        <v>0</v>
      </c>
      <c r="K234" s="4">
        <f>IFERROR(INDEX('02_Employee_Master'!$D:$D,MATCH(A234,'02_Employee_Master'!$A:$A,0)),"")</f>
        <v/>
      </c>
      <c r="L234" s="4">
        <f>IFERROR(INDEX('02_Employee_Master'!$J:$J,MATCH(A234,'02_Employee_Master'!$A:$A,0)),"")</f>
        <v/>
      </c>
    </row>
    <row r="235">
      <c r="A235" s="4" t="inlineStr">
        <is>
          <t>E234</t>
        </is>
      </c>
      <c r="B235" s="4" t="inlineStr">
        <is>
          <t>C012</t>
        </is>
      </c>
      <c r="C235" s="8" t="n">
        <v>97340</v>
      </c>
      <c r="D235" s="8" t="n">
        <v>90033</v>
      </c>
      <c r="E235" s="8" t="n">
        <v>90033</v>
      </c>
      <c r="F235" s="8" t="n">
        <v>7107</v>
      </c>
      <c r="G235" s="8" t="n">
        <v>0</v>
      </c>
      <c r="H235" s="8" t="n">
        <v>200</v>
      </c>
      <c r="I235" s="8" t="n">
        <v>0</v>
      </c>
      <c r="J235" s="9" t="n">
        <v>0</v>
      </c>
      <c r="K235" s="4">
        <f>IFERROR(INDEX('02_Employee_Master'!$D:$D,MATCH(A235,'02_Employee_Master'!$A:$A,0)),"")</f>
        <v/>
      </c>
      <c r="L235" s="4">
        <f>IFERROR(INDEX('02_Employee_Master'!$J:$J,MATCH(A235,'02_Employee_Master'!$A:$A,0)),"")</f>
        <v/>
      </c>
    </row>
    <row r="236">
      <c r="A236" s="4" t="inlineStr">
        <is>
          <t>E235</t>
        </is>
      </c>
      <c r="B236" s="4" t="inlineStr">
        <is>
          <t>C032</t>
        </is>
      </c>
      <c r="C236" s="8" t="n">
        <v>100094</v>
      </c>
      <c r="D236" s="8" t="n">
        <v>86795</v>
      </c>
      <c r="E236" s="8" t="n">
        <v>86795</v>
      </c>
      <c r="F236" s="8" t="n">
        <v>7901</v>
      </c>
      <c r="G236" s="8" t="n">
        <v>0</v>
      </c>
      <c r="H236" s="8" t="n">
        <v>200</v>
      </c>
      <c r="I236" s="8" t="n">
        <v>3003</v>
      </c>
      <c r="J236" s="9" t="n">
        <v>0</v>
      </c>
      <c r="K236" s="4">
        <f>IFERROR(INDEX('02_Employee_Master'!$D:$D,MATCH(A236,'02_Employee_Master'!$A:$A,0)),"")</f>
        <v/>
      </c>
      <c r="L236" s="4">
        <f>IFERROR(INDEX('02_Employee_Master'!$J:$J,MATCH(A236,'02_Employee_Master'!$A:$A,0)),"")</f>
        <v/>
      </c>
    </row>
    <row r="237">
      <c r="A237" s="4" t="inlineStr">
        <is>
          <t>E236</t>
        </is>
      </c>
      <c r="B237" s="4" t="inlineStr">
        <is>
          <t>C035</t>
        </is>
      </c>
      <c r="C237" s="8" t="n">
        <v>122013</v>
      </c>
      <c r="D237" s="8" t="n">
        <v>108319</v>
      </c>
      <c r="E237" s="8" t="n">
        <v>108319</v>
      </c>
      <c r="F237" s="8" t="n">
        <v>9834</v>
      </c>
      <c r="G237" s="8" t="n">
        <v>0</v>
      </c>
      <c r="H237" s="8" t="n">
        <v>200</v>
      </c>
      <c r="I237" s="8" t="n">
        <v>3660</v>
      </c>
      <c r="J237" s="9" t="n">
        <v>0</v>
      </c>
      <c r="K237" s="4">
        <f>IFERROR(INDEX('02_Employee_Master'!$D:$D,MATCH(A237,'02_Employee_Master'!$A:$A,0)),"")</f>
        <v/>
      </c>
      <c r="L237" s="4">
        <f>IFERROR(INDEX('02_Employee_Master'!$J:$J,MATCH(A237,'02_Employee_Master'!$A:$A,0)),"")</f>
        <v/>
      </c>
    </row>
    <row r="238">
      <c r="A238" s="4" t="inlineStr">
        <is>
          <t>E237</t>
        </is>
      </c>
      <c r="B238" s="4" t="inlineStr">
        <is>
          <t>C017</t>
        </is>
      </c>
      <c r="C238" s="8" t="n">
        <v>124425</v>
      </c>
      <c r="D238" s="8" t="n">
        <v>108230</v>
      </c>
      <c r="E238" s="8" t="n">
        <v>108230</v>
      </c>
      <c r="F238" s="8" t="n">
        <v>9596</v>
      </c>
      <c r="G238" s="8" t="n">
        <v>0</v>
      </c>
      <c r="H238" s="8" t="n">
        <v>200</v>
      </c>
      <c r="I238" s="8" t="n">
        <v>3733</v>
      </c>
      <c r="J238" s="9" t="n">
        <v>0</v>
      </c>
      <c r="K238" s="4">
        <f>IFERROR(INDEX('02_Employee_Master'!$D:$D,MATCH(A238,'02_Employee_Master'!$A:$A,0)),"")</f>
        <v/>
      </c>
      <c r="L238" s="4">
        <f>IFERROR(INDEX('02_Employee_Master'!$J:$J,MATCH(A238,'02_Employee_Master'!$A:$A,0)),"")</f>
        <v/>
      </c>
    </row>
    <row r="239">
      <c r="A239" s="4" t="inlineStr">
        <is>
          <t>E238</t>
        </is>
      </c>
      <c r="B239" s="4" t="inlineStr">
        <is>
          <t>C021</t>
        </is>
      </c>
      <c r="C239" s="8" t="n">
        <v>92251</v>
      </c>
      <c r="D239" s="8" t="n">
        <v>84406</v>
      </c>
      <c r="E239" s="8" t="n">
        <v>84406</v>
      </c>
      <c r="F239" s="8" t="n">
        <v>7645</v>
      </c>
      <c r="G239" s="8" t="n">
        <v>0</v>
      </c>
      <c r="H239" s="8" t="n">
        <v>200</v>
      </c>
      <c r="I239" s="8" t="n">
        <v>0</v>
      </c>
      <c r="J239" s="9" t="n">
        <v>0</v>
      </c>
      <c r="K239" s="4">
        <f>IFERROR(INDEX('02_Employee_Master'!$D:$D,MATCH(A239,'02_Employee_Master'!$A:$A,0)),"")</f>
        <v/>
      </c>
      <c r="L239" s="4">
        <f>IFERROR(INDEX('02_Employee_Master'!$J:$J,MATCH(A239,'02_Employee_Master'!$A:$A,0)),"")</f>
        <v/>
      </c>
    </row>
    <row r="240">
      <c r="A240" s="4" t="inlineStr">
        <is>
          <t>E239</t>
        </is>
      </c>
      <c r="B240" s="4" t="inlineStr">
        <is>
          <t>C002</t>
        </is>
      </c>
      <c r="C240" s="8" t="n">
        <v>38180</v>
      </c>
      <c r="D240" s="8" t="n">
        <v>35106</v>
      </c>
      <c r="E240" s="8" t="n">
        <v>35106</v>
      </c>
      <c r="F240" s="8" t="n">
        <v>2249</v>
      </c>
      <c r="G240" s="8" t="n">
        <v>0</v>
      </c>
      <c r="H240" s="8" t="n">
        <v>200</v>
      </c>
      <c r="I240" s="8" t="n">
        <v>0</v>
      </c>
      <c r="J240" s="9" t="n">
        <v>0</v>
      </c>
      <c r="K240" s="4">
        <f>IFERROR(INDEX('02_Employee_Master'!$D:$D,MATCH(A240,'02_Employee_Master'!$A:$A,0)),"")</f>
        <v/>
      </c>
      <c r="L240" s="4">
        <f>IFERROR(INDEX('02_Employee_Master'!$J:$J,MATCH(A240,'02_Employee_Master'!$A:$A,0)),"")</f>
        <v/>
      </c>
    </row>
    <row r="241">
      <c r="A241" s="4" t="inlineStr">
        <is>
          <t>E240</t>
        </is>
      </c>
      <c r="B241" s="4" t="inlineStr">
        <is>
          <t>C008</t>
        </is>
      </c>
      <c r="C241" s="8" t="n">
        <v>53043</v>
      </c>
      <c r="D241" s="8" t="n">
        <v>47874</v>
      </c>
      <c r="E241" s="8" t="n">
        <v>47874</v>
      </c>
      <c r="F241" s="8" t="n">
        <v>3889</v>
      </c>
      <c r="G241" s="8" t="n">
        <v>0</v>
      </c>
      <c r="H241" s="8" t="n">
        <v>200</v>
      </c>
      <c r="I241" s="8" t="n">
        <v>0</v>
      </c>
      <c r="J241" s="9" t="n">
        <v>0</v>
      </c>
      <c r="K241" s="4">
        <f>IFERROR(INDEX('02_Employee_Master'!$D:$D,MATCH(A241,'02_Employee_Master'!$A:$A,0)),"")</f>
        <v/>
      </c>
      <c r="L241" s="4">
        <f>IFERROR(INDEX('02_Employee_Master'!$J:$J,MATCH(A241,'02_Employee_Master'!$A:$A,0)),"")</f>
        <v/>
      </c>
    </row>
    <row r="242">
      <c r="A242" s="4" t="inlineStr">
        <is>
          <t>E241</t>
        </is>
      </c>
      <c r="B242" s="4" t="inlineStr">
        <is>
          <t>C006</t>
        </is>
      </c>
      <c r="C242" s="8" t="n">
        <v>127776</v>
      </c>
      <c r="D242" s="8" t="n">
        <v>114092</v>
      </c>
      <c r="E242" s="8" t="n">
        <v>114062</v>
      </c>
      <c r="F242" s="8" t="n">
        <v>9651</v>
      </c>
      <c r="G242" s="8" t="n">
        <v>0</v>
      </c>
      <c r="H242" s="8" t="n">
        <v>200</v>
      </c>
      <c r="I242" s="8" t="n">
        <v>3833</v>
      </c>
      <c r="J242" s="9" t="n">
        <v>-30</v>
      </c>
      <c r="K242" s="4">
        <f>IFERROR(INDEX('02_Employee_Master'!$D:$D,MATCH(A242,'02_Employee_Master'!$A:$A,0)),"")</f>
        <v/>
      </c>
      <c r="L242" s="4">
        <f>IFERROR(INDEX('02_Employee_Master'!$J:$J,MATCH(A242,'02_Employee_Master'!$A:$A,0)),"")</f>
        <v/>
      </c>
    </row>
    <row r="243">
      <c r="A243" s="4" t="inlineStr">
        <is>
          <t>E242</t>
        </is>
      </c>
      <c r="B243" s="4" t="inlineStr">
        <is>
          <t>C017</t>
        </is>
      </c>
      <c r="C243" s="8" t="n">
        <v>74687</v>
      </c>
      <c r="D243" s="8" t="n">
        <v>68723</v>
      </c>
      <c r="E243" s="8" t="n">
        <v>68723</v>
      </c>
      <c r="F243" s="8" t="n">
        <v>5764</v>
      </c>
      <c r="G243" s="8" t="n">
        <v>0</v>
      </c>
      <c r="H243" s="8" t="n">
        <v>200</v>
      </c>
      <c r="I243" s="8" t="n">
        <v>0</v>
      </c>
      <c r="J243" s="9" t="n">
        <v>0</v>
      </c>
      <c r="K243" s="4">
        <f>IFERROR(INDEX('02_Employee_Master'!$D:$D,MATCH(A243,'02_Employee_Master'!$A:$A,0)),"")</f>
        <v/>
      </c>
      <c r="L243" s="4">
        <f>IFERROR(INDEX('02_Employee_Master'!$J:$J,MATCH(A243,'02_Employee_Master'!$A:$A,0)),"")</f>
        <v/>
      </c>
    </row>
    <row r="244">
      <c r="A244" s="4" t="inlineStr">
        <is>
          <t>E243</t>
        </is>
      </c>
      <c r="B244" s="4" t="inlineStr">
        <is>
          <t>C025</t>
        </is>
      </c>
      <c r="C244" s="8" t="n">
        <v>113402</v>
      </c>
      <c r="D244" s="8" t="n">
        <v>100605</v>
      </c>
      <c r="E244" s="8" t="n">
        <v>104845</v>
      </c>
      <c r="F244" s="8" t="n">
        <v>9195</v>
      </c>
      <c r="G244" s="8" t="n">
        <v>0</v>
      </c>
      <c r="H244" s="8" t="n">
        <v>200</v>
      </c>
      <c r="I244" s="8" t="n">
        <v>3402</v>
      </c>
      <c r="J244" s="9" t="n">
        <v>4240</v>
      </c>
      <c r="K244" s="4">
        <f>IFERROR(INDEX('02_Employee_Master'!$D:$D,MATCH(A244,'02_Employee_Master'!$A:$A,0)),"")</f>
        <v/>
      </c>
      <c r="L244" s="4">
        <f>IFERROR(INDEX('02_Employee_Master'!$J:$J,MATCH(A244,'02_Employee_Master'!$A:$A,0)),"")</f>
        <v/>
      </c>
    </row>
    <row r="245">
      <c r="A245" s="4" t="inlineStr">
        <is>
          <t>E244</t>
        </is>
      </c>
      <c r="B245" s="4" t="inlineStr">
        <is>
          <t>C030</t>
        </is>
      </c>
      <c r="C245" s="8" t="n">
        <v>81721</v>
      </c>
      <c r="D245" s="8" t="n">
        <v>75479</v>
      </c>
      <c r="E245" s="8" t="n">
        <v>75479</v>
      </c>
      <c r="F245" s="8" t="n">
        <v>6042</v>
      </c>
      <c r="G245" s="8" t="n">
        <v>0</v>
      </c>
      <c r="H245" s="8" t="n">
        <v>200</v>
      </c>
      <c r="I245" s="8" t="n">
        <v>0</v>
      </c>
      <c r="J245" s="9" t="n">
        <v>0</v>
      </c>
      <c r="K245" s="4">
        <f>IFERROR(INDEX('02_Employee_Master'!$D:$D,MATCH(A245,'02_Employee_Master'!$A:$A,0)),"")</f>
        <v/>
      </c>
      <c r="L245" s="4">
        <f>IFERROR(INDEX('02_Employee_Master'!$J:$J,MATCH(A245,'02_Employee_Master'!$A:$A,0)),"")</f>
        <v/>
      </c>
    </row>
    <row r="246">
      <c r="A246" s="4" t="inlineStr">
        <is>
          <t>E245</t>
        </is>
      </c>
      <c r="B246" s="4" t="inlineStr">
        <is>
          <t>C002</t>
        </is>
      </c>
      <c r="C246" s="8" t="n">
        <v>80842</v>
      </c>
      <c r="D246" s="8" t="n">
        <v>73871</v>
      </c>
      <c r="E246" s="8" t="n">
        <v>73871</v>
      </c>
      <c r="F246" s="8" t="n">
        <v>6771</v>
      </c>
      <c r="G246" s="8" t="n">
        <v>0</v>
      </c>
      <c r="H246" s="8" t="n">
        <v>200</v>
      </c>
      <c r="I246" s="8" t="n">
        <v>0</v>
      </c>
      <c r="J246" s="9" t="n">
        <v>0</v>
      </c>
      <c r="K246" s="4">
        <f>IFERROR(INDEX('02_Employee_Master'!$D:$D,MATCH(A246,'02_Employee_Master'!$A:$A,0)),"")</f>
        <v/>
      </c>
      <c r="L246" s="4">
        <f>IFERROR(INDEX('02_Employee_Master'!$J:$J,MATCH(A246,'02_Employee_Master'!$A:$A,0)),"")</f>
        <v/>
      </c>
    </row>
    <row r="247">
      <c r="A247" s="4" t="inlineStr">
        <is>
          <t>E246</t>
        </is>
      </c>
      <c r="B247" s="4" t="inlineStr">
        <is>
          <t>C047</t>
        </is>
      </c>
      <c r="C247" s="8" t="n">
        <v>83315</v>
      </c>
      <c r="D247" s="8" t="n">
        <v>76248</v>
      </c>
      <c r="E247" s="8" t="n">
        <v>76248</v>
      </c>
      <c r="F247" s="8" t="n">
        <v>6867</v>
      </c>
      <c r="G247" s="8" t="n">
        <v>0</v>
      </c>
      <c r="H247" s="8" t="n">
        <v>200</v>
      </c>
      <c r="I247" s="8" t="n">
        <v>0</v>
      </c>
      <c r="J247" s="9" t="n">
        <v>0</v>
      </c>
      <c r="K247" s="4">
        <f>IFERROR(INDEX('02_Employee_Master'!$D:$D,MATCH(A247,'02_Employee_Master'!$A:$A,0)),"")</f>
        <v/>
      </c>
      <c r="L247" s="4">
        <f>IFERROR(INDEX('02_Employee_Master'!$J:$J,MATCH(A247,'02_Employee_Master'!$A:$A,0)),"")</f>
        <v/>
      </c>
    </row>
    <row r="248">
      <c r="A248" s="4" t="inlineStr">
        <is>
          <t>E247</t>
        </is>
      </c>
      <c r="B248" s="4" t="inlineStr">
        <is>
          <t>C048</t>
        </is>
      </c>
      <c r="C248" s="8" t="n">
        <v>43670</v>
      </c>
      <c r="D248" s="8" t="n">
        <v>40508</v>
      </c>
      <c r="E248" s="8" t="n">
        <v>40448</v>
      </c>
      <c r="F248" s="8" t="n">
        <v>2962</v>
      </c>
      <c r="G248" s="8" t="n">
        <v>0</v>
      </c>
      <c r="H248" s="8" t="n">
        <v>200</v>
      </c>
      <c r="I248" s="8" t="n">
        <v>0</v>
      </c>
      <c r="J248" s="9" t="n">
        <v>-60</v>
      </c>
      <c r="K248" s="4">
        <f>IFERROR(INDEX('02_Employee_Master'!$D:$D,MATCH(A248,'02_Employee_Master'!$A:$A,0)),"")</f>
        <v/>
      </c>
      <c r="L248" s="4">
        <f>IFERROR(INDEX('02_Employee_Master'!$J:$J,MATCH(A248,'02_Employee_Master'!$A:$A,0)),"")</f>
        <v/>
      </c>
    </row>
    <row r="249">
      <c r="A249" s="4" t="inlineStr">
        <is>
          <t>E248</t>
        </is>
      </c>
      <c r="B249" s="4" t="inlineStr">
        <is>
          <t>C010</t>
        </is>
      </c>
      <c r="C249" s="8" t="n">
        <v>82831</v>
      </c>
      <c r="D249" s="8" t="n">
        <v>75727</v>
      </c>
      <c r="E249" s="8" t="n">
        <v>75727</v>
      </c>
      <c r="F249" s="8" t="n">
        <v>6904</v>
      </c>
      <c r="G249" s="8" t="n">
        <v>0</v>
      </c>
      <c r="H249" s="8" t="n">
        <v>200</v>
      </c>
      <c r="I249" s="8" t="n">
        <v>0</v>
      </c>
      <c r="J249" s="9" t="n">
        <v>0</v>
      </c>
      <c r="K249" s="4">
        <f>IFERROR(INDEX('02_Employee_Master'!$D:$D,MATCH(A249,'02_Employee_Master'!$A:$A,0)),"")</f>
        <v/>
      </c>
      <c r="L249" s="4">
        <f>IFERROR(INDEX('02_Employee_Master'!$J:$J,MATCH(A249,'02_Employee_Master'!$A:$A,0)),"")</f>
        <v/>
      </c>
    </row>
    <row r="250">
      <c r="A250" s="4" t="inlineStr">
        <is>
          <t>E249</t>
        </is>
      </c>
      <c r="B250" s="4" t="inlineStr">
        <is>
          <t>C025</t>
        </is>
      </c>
      <c r="C250" s="8" t="n">
        <v>96238</v>
      </c>
      <c r="D250" s="8" t="n">
        <v>88753</v>
      </c>
      <c r="E250" s="8" t="n">
        <v>89589</v>
      </c>
      <c r="F250" s="8" t="n">
        <v>7285</v>
      </c>
      <c r="G250" s="8" t="n">
        <v>0</v>
      </c>
      <c r="H250" s="8" t="n">
        <v>200</v>
      </c>
      <c r="I250" s="8" t="n">
        <v>0</v>
      </c>
      <c r="J250" s="9" t="n">
        <v>836</v>
      </c>
      <c r="K250" s="4">
        <f>IFERROR(INDEX('02_Employee_Master'!$D:$D,MATCH(A250,'02_Employee_Master'!$A:$A,0)),"")</f>
        <v/>
      </c>
      <c r="L250" s="4">
        <f>IFERROR(INDEX('02_Employee_Master'!$J:$J,MATCH(A250,'02_Employee_Master'!$A:$A,0)),"")</f>
        <v/>
      </c>
    </row>
    <row r="251">
      <c r="A251" s="4" t="inlineStr">
        <is>
          <t>E250</t>
        </is>
      </c>
      <c r="B251" s="4" t="inlineStr">
        <is>
          <t>C029</t>
        </is>
      </c>
      <c r="C251" s="8" t="n">
        <v>44368</v>
      </c>
      <c r="D251" s="8" t="n">
        <v>39218</v>
      </c>
      <c r="E251" s="8" t="n">
        <v>39218</v>
      </c>
      <c r="F251" s="8" t="n">
        <v>3182</v>
      </c>
      <c r="G251" s="8" t="n">
        <v>0</v>
      </c>
      <c r="H251" s="8" t="n">
        <v>200</v>
      </c>
      <c r="I251" s="8" t="n">
        <v>0</v>
      </c>
      <c r="J251" s="9" t="n">
        <v>0</v>
      </c>
      <c r="K251" s="4">
        <f>IFERROR(INDEX('02_Employee_Master'!$D:$D,MATCH(A251,'02_Employee_Master'!$A:$A,0)),"")</f>
        <v/>
      </c>
      <c r="L251" s="4">
        <f>IFERROR(INDEX('02_Employee_Master'!$J:$J,MATCH(A251,'02_Employee_Master'!$A:$A,0)),"")</f>
        <v/>
      </c>
    </row>
    <row r="252">
      <c r="A252" s="4" t="inlineStr">
        <is>
          <t>E251</t>
        </is>
      </c>
      <c r="B252" s="4" t="inlineStr">
        <is>
          <t>C028</t>
        </is>
      </c>
      <c r="C252" s="8" t="n">
        <v>50809</v>
      </c>
      <c r="D252" s="8" t="n">
        <v>44577</v>
      </c>
      <c r="E252" s="8" t="n">
        <v>44577</v>
      </c>
      <c r="F252" s="8" t="n">
        <v>3878</v>
      </c>
      <c r="G252" s="8" t="n">
        <v>0</v>
      </c>
      <c r="H252" s="8" t="n">
        <v>200</v>
      </c>
      <c r="I252" s="8" t="n">
        <v>0</v>
      </c>
      <c r="J252" s="9" t="n">
        <v>0</v>
      </c>
      <c r="K252" s="4">
        <f>IFERROR(INDEX('02_Employee_Master'!$D:$D,MATCH(A252,'02_Employee_Master'!$A:$A,0)),"")</f>
        <v/>
      </c>
      <c r="L252" s="4">
        <f>IFERROR(INDEX('02_Employee_Master'!$J:$J,MATCH(A252,'02_Employee_Master'!$A:$A,0)),"")</f>
        <v/>
      </c>
    </row>
    <row r="253">
      <c r="A253" s="4" t="inlineStr">
        <is>
          <t>E252</t>
        </is>
      </c>
      <c r="B253" s="4" t="inlineStr">
        <is>
          <t>C003</t>
        </is>
      </c>
      <c r="C253" s="8" t="n">
        <v>124392</v>
      </c>
      <c r="D253" s="8" t="n">
        <v>110887</v>
      </c>
      <c r="E253" s="8" t="n">
        <v>110887</v>
      </c>
      <c r="F253" s="8" t="n">
        <v>9573</v>
      </c>
      <c r="G253" s="8" t="n">
        <v>0</v>
      </c>
      <c r="H253" s="8" t="n">
        <v>200</v>
      </c>
      <c r="I253" s="8" t="n">
        <v>3732</v>
      </c>
      <c r="J253" s="9" t="n">
        <v>0</v>
      </c>
      <c r="K253" s="4">
        <f>IFERROR(INDEX('02_Employee_Master'!$D:$D,MATCH(A253,'02_Employee_Master'!$A:$A,0)),"")</f>
        <v/>
      </c>
      <c r="L253" s="4">
        <f>IFERROR(INDEX('02_Employee_Master'!$J:$J,MATCH(A253,'02_Employee_Master'!$A:$A,0)),"")</f>
        <v/>
      </c>
    </row>
    <row r="254">
      <c r="A254" s="4" t="inlineStr">
        <is>
          <t>E253</t>
        </is>
      </c>
      <c r="B254" s="4" t="inlineStr">
        <is>
          <t>C023</t>
        </is>
      </c>
      <c r="C254" s="8" t="n">
        <v>41430</v>
      </c>
      <c r="D254" s="8" t="n">
        <v>37368</v>
      </c>
      <c r="E254" s="8" t="n">
        <v>37368</v>
      </c>
      <c r="F254" s="8" t="n">
        <v>2483</v>
      </c>
      <c r="G254" s="8" t="n">
        <v>0</v>
      </c>
      <c r="H254" s="8" t="n">
        <v>200</v>
      </c>
      <c r="I254" s="8" t="n">
        <v>0</v>
      </c>
      <c r="J254" s="9" t="n">
        <v>0</v>
      </c>
      <c r="K254" s="4">
        <f>IFERROR(INDEX('02_Employee_Master'!$D:$D,MATCH(A254,'02_Employee_Master'!$A:$A,0)),"")</f>
        <v/>
      </c>
      <c r="L254" s="4">
        <f>IFERROR(INDEX('02_Employee_Master'!$J:$J,MATCH(A254,'02_Employee_Master'!$A:$A,0)),"")</f>
        <v/>
      </c>
    </row>
    <row r="255">
      <c r="A255" s="4" t="inlineStr">
        <is>
          <t>E254</t>
        </is>
      </c>
      <c r="B255" s="4" t="inlineStr">
        <is>
          <t>C011</t>
        </is>
      </c>
      <c r="C255" s="8" t="n">
        <v>73509</v>
      </c>
      <c r="D255" s="8" t="n">
        <v>67498</v>
      </c>
      <c r="E255" s="8" t="n">
        <v>67498</v>
      </c>
      <c r="F255" s="8" t="n">
        <v>5811</v>
      </c>
      <c r="G255" s="8" t="n">
        <v>0</v>
      </c>
      <c r="H255" s="8" t="n">
        <v>200</v>
      </c>
      <c r="I255" s="8" t="n">
        <v>0</v>
      </c>
      <c r="J255" s="9" t="n">
        <v>0</v>
      </c>
      <c r="K255" s="4">
        <f>IFERROR(INDEX('02_Employee_Master'!$D:$D,MATCH(A255,'02_Employee_Master'!$A:$A,0)),"")</f>
        <v/>
      </c>
      <c r="L255" s="4">
        <f>IFERROR(INDEX('02_Employee_Master'!$J:$J,MATCH(A255,'02_Employee_Master'!$A:$A,0)),"")</f>
        <v/>
      </c>
    </row>
    <row r="256">
      <c r="A256" s="4" t="inlineStr">
        <is>
          <t>E255</t>
        </is>
      </c>
      <c r="B256" s="4" t="inlineStr">
        <is>
          <t>C016</t>
        </is>
      </c>
      <c r="C256" s="8" t="n">
        <v>133390</v>
      </c>
      <c r="D256" s="8" t="n">
        <v>119152</v>
      </c>
      <c r="E256" s="8" t="n">
        <v>119152</v>
      </c>
      <c r="F256" s="8" t="n">
        <v>10036</v>
      </c>
      <c r="G256" s="8" t="n">
        <v>0</v>
      </c>
      <c r="H256" s="8" t="n">
        <v>200</v>
      </c>
      <c r="I256" s="8" t="n">
        <v>4002</v>
      </c>
      <c r="J256" s="9" t="n">
        <v>0</v>
      </c>
      <c r="K256" s="4">
        <f>IFERROR(INDEX('02_Employee_Master'!$D:$D,MATCH(A256,'02_Employee_Master'!$A:$A,0)),"")</f>
        <v/>
      </c>
      <c r="L256" s="4">
        <f>IFERROR(INDEX('02_Employee_Master'!$J:$J,MATCH(A256,'02_Employee_Master'!$A:$A,0)),"")</f>
        <v/>
      </c>
    </row>
    <row r="257">
      <c r="A257" s="4" t="inlineStr">
        <is>
          <t>E256</t>
        </is>
      </c>
      <c r="B257" s="4" t="inlineStr">
        <is>
          <t>C047</t>
        </is>
      </c>
      <c r="C257" s="8" t="n">
        <v>94606</v>
      </c>
      <c r="D257" s="8" t="n">
        <v>83665</v>
      </c>
      <c r="E257" s="8" t="n">
        <v>83665</v>
      </c>
      <c r="F257" s="8" t="n">
        <v>6905</v>
      </c>
      <c r="G257" s="8" t="n">
        <v>0</v>
      </c>
      <c r="H257" s="8" t="n">
        <v>200</v>
      </c>
      <c r="I257" s="8" t="n">
        <v>0</v>
      </c>
      <c r="J257" s="9" t="n">
        <v>0</v>
      </c>
      <c r="K257" s="4">
        <f>IFERROR(INDEX('02_Employee_Master'!$D:$D,MATCH(A257,'02_Employee_Master'!$A:$A,0)),"")</f>
        <v/>
      </c>
      <c r="L257" s="4">
        <f>IFERROR(INDEX('02_Employee_Master'!$J:$J,MATCH(A257,'02_Employee_Master'!$A:$A,0)),"")</f>
        <v/>
      </c>
    </row>
    <row r="258">
      <c r="A258" s="4" t="inlineStr">
        <is>
          <t>E257</t>
        </is>
      </c>
      <c r="B258" s="4" t="inlineStr">
        <is>
          <t>C005</t>
        </is>
      </c>
      <c r="C258" s="8" t="n">
        <v>57483</v>
      </c>
      <c r="D258" s="8" t="n">
        <v>52149</v>
      </c>
      <c r="E258" s="8" t="n">
        <v>48131</v>
      </c>
      <c r="F258" s="8" t="n">
        <v>4018</v>
      </c>
      <c r="G258" s="8" t="n">
        <v>0</v>
      </c>
      <c r="H258" s="8" t="n">
        <v>200</v>
      </c>
      <c r="I258" s="8" t="n">
        <v>0</v>
      </c>
      <c r="J258" s="9" t="n">
        <v>-4018</v>
      </c>
      <c r="K258" s="4">
        <f>IFERROR(INDEX('02_Employee_Master'!$D:$D,MATCH(A258,'02_Employee_Master'!$A:$A,0)),"")</f>
        <v/>
      </c>
      <c r="L258" s="4">
        <f>IFERROR(INDEX('02_Employee_Master'!$J:$J,MATCH(A258,'02_Employee_Master'!$A:$A,0)),"")</f>
        <v/>
      </c>
    </row>
    <row r="259">
      <c r="A259" s="4" t="inlineStr">
        <is>
          <t>E258</t>
        </is>
      </c>
      <c r="B259" s="4" t="inlineStr">
        <is>
          <t>C003</t>
        </is>
      </c>
      <c r="C259" s="8" t="n">
        <v>137782</v>
      </c>
      <c r="D259" s="8" t="n">
        <v>120059</v>
      </c>
      <c r="E259" s="8" t="n">
        <v>120059</v>
      </c>
      <c r="F259" s="8" t="n">
        <v>10479</v>
      </c>
      <c r="G259" s="8" t="n">
        <v>0</v>
      </c>
      <c r="H259" s="8" t="n">
        <v>200</v>
      </c>
      <c r="I259" s="8" t="n">
        <v>4133</v>
      </c>
      <c r="J259" s="9" t="n">
        <v>0</v>
      </c>
      <c r="K259" s="4">
        <f>IFERROR(INDEX('02_Employee_Master'!$D:$D,MATCH(A259,'02_Employee_Master'!$A:$A,0)),"")</f>
        <v/>
      </c>
      <c r="L259" s="4">
        <f>IFERROR(INDEX('02_Employee_Master'!$J:$J,MATCH(A259,'02_Employee_Master'!$A:$A,0)),"")</f>
        <v/>
      </c>
    </row>
    <row r="260">
      <c r="A260" s="4" t="inlineStr">
        <is>
          <t>E259</t>
        </is>
      </c>
      <c r="B260" s="4" t="inlineStr">
        <is>
          <t>C005</t>
        </is>
      </c>
      <c r="C260" s="8" t="n">
        <v>133452</v>
      </c>
      <c r="D260" s="8" t="n">
        <v>118762</v>
      </c>
      <c r="E260" s="8" t="n">
        <v>108276</v>
      </c>
      <c r="F260" s="8" t="n">
        <v>10486</v>
      </c>
      <c r="G260" s="8" t="n">
        <v>0</v>
      </c>
      <c r="H260" s="8" t="n">
        <v>200</v>
      </c>
      <c r="I260" s="8" t="n">
        <v>4004</v>
      </c>
      <c r="J260" s="9" t="n">
        <v>-10486</v>
      </c>
      <c r="K260" s="4">
        <f>IFERROR(INDEX('02_Employee_Master'!$D:$D,MATCH(A260,'02_Employee_Master'!$A:$A,0)),"")</f>
        <v/>
      </c>
      <c r="L260" s="4">
        <f>IFERROR(INDEX('02_Employee_Master'!$J:$J,MATCH(A260,'02_Employee_Master'!$A:$A,0)),"")</f>
        <v/>
      </c>
    </row>
    <row r="261">
      <c r="A261" s="4" t="inlineStr">
        <is>
          <t>E260</t>
        </is>
      </c>
      <c r="B261" s="4" t="inlineStr">
        <is>
          <t>C034</t>
        </is>
      </c>
      <c r="C261" s="8" t="n">
        <v>120179</v>
      </c>
      <c r="D261" s="8" t="n">
        <v>107232</v>
      </c>
      <c r="E261" s="8" t="n">
        <v>107232</v>
      </c>
      <c r="F261" s="8" t="n">
        <v>9142</v>
      </c>
      <c r="G261" s="8" t="n">
        <v>0</v>
      </c>
      <c r="H261" s="8" t="n">
        <v>200</v>
      </c>
      <c r="I261" s="8" t="n">
        <v>3605</v>
      </c>
      <c r="J261" s="9" t="n">
        <v>0</v>
      </c>
      <c r="K261" s="4">
        <f>IFERROR(INDEX('02_Employee_Master'!$D:$D,MATCH(A261,'02_Employee_Master'!$A:$A,0)),"")</f>
        <v/>
      </c>
      <c r="L261" s="4">
        <f>IFERROR(INDEX('02_Employee_Master'!$J:$J,MATCH(A261,'02_Employee_Master'!$A:$A,0)),"")</f>
        <v/>
      </c>
    </row>
    <row r="262">
      <c r="A262" s="4" t="inlineStr">
        <is>
          <t>E261</t>
        </is>
      </c>
      <c r="B262" s="4" t="inlineStr">
        <is>
          <t>C007</t>
        </is>
      </c>
      <c r="C262" s="8" t="n">
        <v>111379</v>
      </c>
      <c r="D262" s="8" t="n">
        <v>99180</v>
      </c>
      <c r="E262" s="8" t="n">
        <v>99180</v>
      </c>
      <c r="F262" s="8" t="n">
        <v>8658</v>
      </c>
      <c r="G262" s="8" t="n">
        <v>0</v>
      </c>
      <c r="H262" s="8" t="n">
        <v>200</v>
      </c>
      <c r="I262" s="8" t="n">
        <v>3341</v>
      </c>
      <c r="J262" s="9" t="n">
        <v>0</v>
      </c>
      <c r="K262" s="4">
        <f>IFERROR(INDEX('02_Employee_Master'!$D:$D,MATCH(A262,'02_Employee_Master'!$A:$A,0)),"")</f>
        <v/>
      </c>
      <c r="L262" s="4">
        <f>IFERROR(INDEX('02_Employee_Master'!$J:$J,MATCH(A262,'02_Employee_Master'!$A:$A,0)),"")</f>
        <v/>
      </c>
    </row>
    <row r="263">
      <c r="A263" s="4" t="inlineStr">
        <is>
          <t>E262</t>
        </is>
      </c>
      <c r="B263" s="4" t="inlineStr">
        <is>
          <t>C044</t>
        </is>
      </c>
      <c r="C263" s="8" t="n">
        <v>76748</v>
      </c>
      <c r="D263" s="8" t="n">
        <v>70970</v>
      </c>
      <c r="E263" s="8" t="n">
        <v>70970</v>
      </c>
      <c r="F263" s="8" t="n">
        <v>5578</v>
      </c>
      <c r="G263" s="8" t="n">
        <v>0</v>
      </c>
      <c r="H263" s="8" t="n">
        <v>200</v>
      </c>
      <c r="I263" s="8" t="n">
        <v>0</v>
      </c>
      <c r="J263" s="9" t="n">
        <v>0</v>
      </c>
      <c r="K263" s="4">
        <f>IFERROR(INDEX('02_Employee_Master'!$D:$D,MATCH(A263,'02_Employee_Master'!$A:$A,0)),"")</f>
        <v/>
      </c>
      <c r="L263" s="4">
        <f>IFERROR(INDEX('02_Employee_Master'!$J:$J,MATCH(A263,'02_Employee_Master'!$A:$A,0)),"")</f>
        <v/>
      </c>
    </row>
    <row r="264">
      <c r="A264" s="4" t="inlineStr">
        <is>
          <t>E263</t>
        </is>
      </c>
      <c r="B264" s="4" t="inlineStr">
        <is>
          <t>C048</t>
        </is>
      </c>
      <c r="C264" s="8" t="n">
        <v>129324</v>
      </c>
      <c r="D264" s="8" t="n">
        <v>115117</v>
      </c>
      <c r="E264" s="8" t="n">
        <v>115060</v>
      </c>
      <c r="F264" s="8" t="n">
        <v>10127</v>
      </c>
      <c r="G264" s="8" t="n">
        <v>0</v>
      </c>
      <c r="H264" s="8" t="n">
        <v>200</v>
      </c>
      <c r="I264" s="8" t="n">
        <v>3880</v>
      </c>
      <c r="J264" s="9" t="n">
        <v>-57</v>
      </c>
      <c r="K264" s="4">
        <f>IFERROR(INDEX('02_Employee_Master'!$D:$D,MATCH(A264,'02_Employee_Master'!$A:$A,0)),"")</f>
        <v/>
      </c>
      <c r="L264" s="4">
        <f>IFERROR(INDEX('02_Employee_Master'!$J:$J,MATCH(A264,'02_Employee_Master'!$A:$A,0)),"")</f>
        <v/>
      </c>
    </row>
    <row r="265">
      <c r="A265" s="4" t="inlineStr">
        <is>
          <t>E264</t>
        </is>
      </c>
      <c r="B265" s="4" t="inlineStr">
        <is>
          <t>C036</t>
        </is>
      </c>
      <c r="C265" s="8" t="n">
        <v>94055</v>
      </c>
      <c r="D265" s="8" t="n">
        <v>86519</v>
      </c>
      <c r="E265" s="8" t="n">
        <v>86519</v>
      </c>
      <c r="F265" s="8" t="n">
        <v>7336</v>
      </c>
      <c r="G265" s="8" t="n">
        <v>0</v>
      </c>
      <c r="H265" s="8" t="n">
        <v>200</v>
      </c>
      <c r="I265" s="8" t="n">
        <v>0</v>
      </c>
      <c r="J265" s="9" t="n">
        <v>0</v>
      </c>
      <c r="K265" s="4">
        <f>IFERROR(INDEX('02_Employee_Master'!$D:$D,MATCH(A265,'02_Employee_Master'!$A:$A,0)),"")</f>
        <v/>
      </c>
      <c r="L265" s="4">
        <f>IFERROR(INDEX('02_Employee_Master'!$J:$J,MATCH(A265,'02_Employee_Master'!$A:$A,0)),"")</f>
        <v/>
      </c>
    </row>
    <row r="266">
      <c r="A266" s="4" t="inlineStr">
        <is>
          <t>E265</t>
        </is>
      </c>
      <c r="B266" s="4" t="inlineStr">
        <is>
          <t>C003</t>
        </is>
      </c>
      <c r="C266" s="8" t="n">
        <v>117756</v>
      </c>
      <c r="D266" s="8" t="n">
        <v>104273</v>
      </c>
      <c r="E266" s="8" t="n">
        <v>104273</v>
      </c>
      <c r="F266" s="8" t="n">
        <v>9750</v>
      </c>
      <c r="G266" s="8" t="n">
        <v>0</v>
      </c>
      <c r="H266" s="8" t="n">
        <v>200</v>
      </c>
      <c r="I266" s="8" t="n">
        <v>3533</v>
      </c>
      <c r="J266" s="9" t="n">
        <v>0</v>
      </c>
      <c r="K266" s="4">
        <f>IFERROR(INDEX('02_Employee_Master'!$D:$D,MATCH(A266,'02_Employee_Master'!$A:$A,0)),"")</f>
        <v/>
      </c>
      <c r="L266" s="4">
        <f>IFERROR(INDEX('02_Employee_Master'!$J:$J,MATCH(A266,'02_Employee_Master'!$A:$A,0)),"")</f>
        <v/>
      </c>
    </row>
    <row r="267">
      <c r="A267" s="4" t="inlineStr">
        <is>
          <t>E266</t>
        </is>
      </c>
      <c r="B267" s="4" t="inlineStr">
        <is>
          <t>C035</t>
        </is>
      </c>
      <c r="C267" s="8" t="n">
        <v>117889</v>
      </c>
      <c r="D267" s="8" t="n">
        <v>105527</v>
      </c>
      <c r="E267" s="8" t="n">
        <v>105527</v>
      </c>
      <c r="F267" s="8" t="n">
        <v>8625</v>
      </c>
      <c r="G267" s="8" t="n">
        <v>0</v>
      </c>
      <c r="H267" s="8" t="n">
        <v>200</v>
      </c>
      <c r="I267" s="8" t="n">
        <v>3537</v>
      </c>
      <c r="J267" s="9" t="n">
        <v>0</v>
      </c>
      <c r="K267" s="4">
        <f>IFERROR(INDEX('02_Employee_Master'!$D:$D,MATCH(A267,'02_Employee_Master'!$A:$A,0)),"")</f>
        <v/>
      </c>
      <c r="L267" s="4">
        <f>IFERROR(INDEX('02_Employee_Master'!$J:$J,MATCH(A267,'02_Employee_Master'!$A:$A,0)),"")</f>
        <v/>
      </c>
    </row>
    <row r="268">
      <c r="A268" s="4" t="inlineStr">
        <is>
          <t>E267</t>
        </is>
      </c>
      <c r="B268" s="4" t="inlineStr">
        <is>
          <t>C012</t>
        </is>
      </c>
      <c r="C268" s="8" t="n">
        <v>116139</v>
      </c>
      <c r="D268" s="8" t="n">
        <v>102996</v>
      </c>
      <c r="E268" s="8" t="n">
        <v>102996</v>
      </c>
      <c r="F268" s="8" t="n">
        <v>9459</v>
      </c>
      <c r="G268" s="8" t="n">
        <v>0</v>
      </c>
      <c r="H268" s="8" t="n">
        <v>200</v>
      </c>
      <c r="I268" s="8" t="n">
        <v>3484</v>
      </c>
      <c r="J268" s="9" t="n">
        <v>0</v>
      </c>
      <c r="K268" s="4">
        <f>IFERROR(INDEX('02_Employee_Master'!$D:$D,MATCH(A268,'02_Employee_Master'!$A:$A,0)),"")</f>
        <v/>
      </c>
      <c r="L268" s="4">
        <f>IFERROR(INDEX('02_Employee_Master'!$J:$J,MATCH(A268,'02_Employee_Master'!$A:$A,0)),"")</f>
        <v/>
      </c>
    </row>
    <row r="269">
      <c r="A269" s="4" t="inlineStr">
        <is>
          <t>E268</t>
        </is>
      </c>
      <c r="B269" s="4" t="inlineStr">
        <is>
          <t>C005</t>
        </is>
      </c>
      <c r="C269" s="8" t="n">
        <v>93581</v>
      </c>
      <c r="D269" s="8" t="n">
        <v>86369</v>
      </c>
      <c r="E269" s="8" t="n">
        <v>79357</v>
      </c>
      <c r="F269" s="8" t="n">
        <v>7012</v>
      </c>
      <c r="G269" s="8" t="n">
        <v>0</v>
      </c>
      <c r="H269" s="8" t="n">
        <v>200</v>
      </c>
      <c r="I269" s="8" t="n">
        <v>0</v>
      </c>
      <c r="J269" s="9" t="n">
        <v>-7012</v>
      </c>
      <c r="K269" s="4">
        <f>IFERROR(INDEX('02_Employee_Master'!$D:$D,MATCH(A269,'02_Employee_Master'!$A:$A,0)),"")</f>
        <v/>
      </c>
      <c r="L269" s="4">
        <f>IFERROR(INDEX('02_Employee_Master'!$J:$J,MATCH(A269,'02_Employee_Master'!$A:$A,0)),"")</f>
        <v/>
      </c>
    </row>
    <row r="270">
      <c r="A270" s="4" t="inlineStr">
        <is>
          <t>E269</t>
        </is>
      </c>
      <c r="B270" s="4" t="inlineStr">
        <is>
          <t>C017</t>
        </is>
      </c>
      <c r="C270" s="8" t="n">
        <v>39550</v>
      </c>
      <c r="D270" s="8" t="n">
        <v>36739</v>
      </c>
      <c r="E270" s="8" t="n">
        <v>36739</v>
      </c>
      <c r="F270" s="8" t="n">
        <v>2611</v>
      </c>
      <c r="G270" s="8" t="n">
        <v>0</v>
      </c>
      <c r="H270" s="8" t="n">
        <v>200</v>
      </c>
      <c r="I270" s="8" t="n">
        <v>0</v>
      </c>
      <c r="J270" s="9" t="n">
        <v>0</v>
      </c>
      <c r="K270" s="4">
        <f>IFERROR(INDEX('02_Employee_Master'!$D:$D,MATCH(A270,'02_Employee_Master'!$A:$A,0)),"")</f>
        <v/>
      </c>
      <c r="L270" s="4">
        <f>IFERROR(INDEX('02_Employee_Master'!$J:$J,MATCH(A270,'02_Employee_Master'!$A:$A,0)),"")</f>
        <v/>
      </c>
    </row>
    <row r="271">
      <c r="A271" s="4" t="inlineStr">
        <is>
          <t>E270</t>
        </is>
      </c>
      <c r="B271" s="4" t="inlineStr">
        <is>
          <t>C042</t>
        </is>
      </c>
      <c r="C271" s="8" t="n">
        <v>76919</v>
      </c>
      <c r="D271" s="8" t="n">
        <v>70589</v>
      </c>
      <c r="E271" s="8" t="n">
        <v>70589</v>
      </c>
      <c r="F271" s="8" t="n">
        <v>6130</v>
      </c>
      <c r="G271" s="8" t="n">
        <v>0</v>
      </c>
      <c r="H271" s="8" t="n">
        <v>200</v>
      </c>
      <c r="I271" s="8" t="n">
        <v>0</v>
      </c>
      <c r="J271" s="9" t="n">
        <v>0</v>
      </c>
      <c r="K271" s="4">
        <f>IFERROR(INDEX('02_Employee_Master'!$D:$D,MATCH(A271,'02_Employee_Master'!$A:$A,0)),"")</f>
        <v/>
      </c>
      <c r="L271" s="4">
        <f>IFERROR(INDEX('02_Employee_Master'!$J:$J,MATCH(A271,'02_Employee_Master'!$A:$A,0)),"")</f>
        <v/>
      </c>
    </row>
    <row r="272">
      <c r="A272" s="4" t="inlineStr">
        <is>
          <t>E271</t>
        </is>
      </c>
      <c r="B272" s="4" t="inlineStr">
        <is>
          <t>C030</t>
        </is>
      </c>
      <c r="C272" s="8" t="n">
        <v>49966</v>
      </c>
      <c r="D272" s="8" t="n">
        <v>45963</v>
      </c>
      <c r="E272" s="8" t="n">
        <v>45963</v>
      </c>
      <c r="F272" s="8" t="n">
        <v>3803</v>
      </c>
      <c r="G272" s="8" t="n">
        <v>0</v>
      </c>
      <c r="H272" s="8" t="n">
        <v>200</v>
      </c>
      <c r="I272" s="8" t="n">
        <v>0</v>
      </c>
      <c r="J272" s="9" t="n">
        <v>0</v>
      </c>
      <c r="K272" s="4">
        <f>IFERROR(INDEX('02_Employee_Master'!$D:$D,MATCH(A272,'02_Employee_Master'!$A:$A,0)),"")</f>
        <v/>
      </c>
      <c r="L272" s="4">
        <f>IFERROR(INDEX('02_Employee_Master'!$J:$J,MATCH(A272,'02_Employee_Master'!$A:$A,0)),"")</f>
        <v/>
      </c>
    </row>
    <row r="273">
      <c r="A273" s="4" t="inlineStr">
        <is>
          <t>E272</t>
        </is>
      </c>
      <c r="B273" s="4" t="inlineStr">
        <is>
          <t>C046</t>
        </is>
      </c>
      <c r="C273" s="8" t="n">
        <v>121812</v>
      </c>
      <c r="D273" s="8" t="n">
        <v>103832</v>
      </c>
      <c r="E273" s="8" t="n">
        <v>103832</v>
      </c>
      <c r="F273" s="8" t="n">
        <v>9081</v>
      </c>
      <c r="G273" s="8" t="n">
        <v>0</v>
      </c>
      <c r="H273" s="8" t="n">
        <v>200</v>
      </c>
      <c r="I273" s="8" t="n">
        <v>3654</v>
      </c>
      <c r="J273" s="9" t="n">
        <v>0</v>
      </c>
      <c r="K273" s="4">
        <f>IFERROR(INDEX('02_Employee_Master'!$D:$D,MATCH(A273,'02_Employee_Master'!$A:$A,0)),"")</f>
        <v/>
      </c>
      <c r="L273" s="4">
        <f>IFERROR(INDEX('02_Employee_Master'!$J:$J,MATCH(A273,'02_Employee_Master'!$A:$A,0)),"")</f>
        <v/>
      </c>
    </row>
    <row r="274">
      <c r="A274" s="4" t="inlineStr">
        <is>
          <t>E273</t>
        </is>
      </c>
      <c r="B274" s="4" t="inlineStr">
        <is>
          <t>C029</t>
        </is>
      </c>
      <c r="C274" s="8" t="n">
        <v>29059</v>
      </c>
      <c r="D274" s="8" t="n">
        <v>26938</v>
      </c>
      <c r="E274" s="8" t="n">
        <v>26938</v>
      </c>
      <c r="F274" s="8" t="n">
        <v>1921</v>
      </c>
      <c r="G274" s="8" t="n">
        <v>0</v>
      </c>
      <c r="H274" s="8" t="n">
        <v>200</v>
      </c>
      <c r="I274" s="8" t="n">
        <v>0</v>
      </c>
      <c r="J274" s="9" t="n">
        <v>0</v>
      </c>
      <c r="K274" s="4">
        <f>IFERROR(INDEX('02_Employee_Master'!$D:$D,MATCH(A274,'02_Employee_Master'!$A:$A,0)),"")</f>
        <v/>
      </c>
      <c r="L274" s="4">
        <f>IFERROR(INDEX('02_Employee_Master'!$J:$J,MATCH(A274,'02_Employee_Master'!$A:$A,0)),"")</f>
        <v/>
      </c>
    </row>
    <row r="275">
      <c r="A275" s="4" t="inlineStr">
        <is>
          <t>E274</t>
        </is>
      </c>
      <c r="B275" s="4" t="inlineStr">
        <is>
          <t>C006</t>
        </is>
      </c>
      <c r="C275" s="8" t="n">
        <v>47400</v>
      </c>
      <c r="D275" s="8" t="n">
        <v>42523</v>
      </c>
      <c r="E275" s="8" t="n">
        <v>42489</v>
      </c>
      <c r="F275" s="8" t="n">
        <v>3660</v>
      </c>
      <c r="G275" s="8" t="n">
        <v>0</v>
      </c>
      <c r="H275" s="8" t="n">
        <v>200</v>
      </c>
      <c r="I275" s="8" t="n">
        <v>0</v>
      </c>
      <c r="J275" s="9" t="n">
        <v>-34</v>
      </c>
      <c r="K275" s="4">
        <f>IFERROR(INDEX('02_Employee_Master'!$D:$D,MATCH(A275,'02_Employee_Master'!$A:$A,0)),"")</f>
        <v/>
      </c>
      <c r="L275" s="4">
        <f>IFERROR(INDEX('02_Employee_Master'!$J:$J,MATCH(A275,'02_Employee_Master'!$A:$A,0)),"")</f>
        <v/>
      </c>
    </row>
    <row r="276">
      <c r="A276" s="4" t="inlineStr">
        <is>
          <t>E275</t>
        </is>
      </c>
      <c r="B276" s="4" t="inlineStr">
        <is>
          <t>C035</t>
        </is>
      </c>
      <c r="C276" s="8" t="n">
        <v>37202</v>
      </c>
      <c r="D276" s="8" t="n">
        <v>34648</v>
      </c>
      <c r="E276" s="8" t="n">
        <v>34648</v>
      </c>
      <c r="F276" s="8" t="n">
        <v>2354</v>
      </c>
      <c r="G276" s="8" t="n">
        <v>0</v>
      </c>
      <c r="H276" s="8" t="n">
        <v>200</v>
      </c>
      <c r="I276" s="8" t="n">
        <v>0</v>
      </c>
      <c r="J276" s="9" t="n">
        <v>0</v>
      </c>
      <c r="K276" s="4">
        <f>IFERROR(INDEX('02_Employee_Master'!$D:$D,MATCH(A276,'02_Employee_Master'!$A:$A,0)),"")</f>
        <v/>
      </c>
      <c r="L276" s="4">
        <f>IFERROR(INDEX('02_Employee_Master'!$J:$J,MATCH(A276,'02_Employee_Master'!$A:$A,0)),"")</f>
        <v/>
      </c>
    </row>
    <row r="277">
      <c r="A277" s="4" t="inlineStr">
        <is>
          <t>E276</t>
        </is>
      </c>
      <c r="B277" s="4" t="inlineStr">
        <is>
          <t>C020</t>
        </is>
      </c>
      <c r="C277" s="8" t="n">
        <v>148036</v>
      </c>
      <c r="D277" s="8" t="n">
        <v>135089</v>
      </c>
      <c r="E277" s="8" t="n">
        <v>135089</v>
      </c>
      <c r="F277" s="8" t="n">
        <v>8306</v>
      </c>
      <c r="G277" s="8" t="n">
        <v>0</v>
      </c>
      <c r="H277" s="8" t="n">
        <v>200</v>
      </c>
      <c r="I277" s="8" t="n">
        <v>4441</v>
      </c>
      <c r="J277" s="9" t="n">
        <v>0</v>
      </c>
      <c r="K277" s="4">
        <f>IFERROR(INDEX('02_Employee_Master'!$D:$D,MATCH(A277,'02_Employee_Master'!$A:$A,0)),"")</f>
        <v/>
      </c>
      <c r="L277" s="4">
        <f>IFERROR(INDEX('02_Employee_Master'!$J:$J,MATCH(A277,'02_Employee_Master'!$A:$A,0)),"")</f>
        <v/>
      </c>
    </row>
    <row r="278">
      <c r="A278" s="4" t="inlineStr">
        <is>
          <t>E277</t>
        </is>
      </c>
      <c r="B278" s="4" t="inlineStr">
        <is>
          <t>C018</t>
        </is>
      </c>
      <c r="C278" s="8" t="n">
        <v>109901</v>
      </c>
      <c r="D278" s="8" t="n">
        <v>98192</v>
      </c>
      <c r="E278" s="8" t="n">
        <v>98192</v>
      </c>
      <c r="F278" s="8" t="n">
        <v>8212</v>
      </c>
      <c r="G278" s="8" t="n">
        <v>0</v>
      </c>
      <c r="H278" s="8" t="n">
        <v>200</v>
      </c>
      <c r="I278" s="8" t="n">
        <v>3297</v>
      </c>
      <c r="J278" s="9" t="n">
        <v>0</v>
      </c>
      <c r="K278" s="4">
        <f>IFERROR(INDEX('02_Employee_Master'!$D:$D,MATCH(A278,'02_Employee_Master'!$A:$A,0)),"")</f>
        <v/>
      </c>
      <c r="L278" s="4">
        <f>IFERROR(INDEX('02_Employee_Master'!$J:$J,MATCH(A278,'02_Employee_Master'!$A:$A,0)),"")</f>
        <v/>
      </c>
    </row>
    <row r="279">
      <c r="A279" s="4" t="inlineStr">
        <is>
          <t>E278</t>
        </is>
      </c>
      <c r="B279" s="4" t="inlineStr">
        <is>
          <t>C006</t>
        </is>
      </c>
      <c r="C279" s="8" t="n">
        <v>100859</v>
      </c>
      <c r="D279" s="8" t="n">
        <v>90095</v>
      </c>
      <c r="E279" s="8" t="n">
        <v>90067</v>
      </c>
      <c r="F279" s="8" t="n">
        <v>7538</v>
      </c>
      <c r="G279" s="8" t="n">
        <v>0</v>
      </c>
      <c r="H279" s="8" t="n">
        <v>200</v>
      </c>
      <c r="I279" s="8" t="n">
        <v>3026</v>
      </c>
      <c r="J279" s="9" t="n">
        <v>-28</v>
      </c>
      <c r="K279" s="4">
        <f>IFERROR(INDEX('02_Employee_Master'!$D:$D,MATCH(A279,'02_Employee_Master'!$A:$A,0)),"")</f>
        <v/>
      </c>
      <c r="L279" s="4">
        <f>IFERROR(INDEX('02_Employee_Master'!$J:$J,MATCH(A279,'02_Employee_Master'!$A:$A,0)),"")</f>
        <v/>
      </c>
    </row>
    <row r="280">
      <c r="A280" s="4" t="inlineStr">
        <is>
          <t>E279</t>
        </is>
      </c>
      <c r="B280" s="4" t="inlineStr">
        <is>
          <t>C033</t>
        </is>
      </c>
      <c r="C280" s="8" t="n">
        <v>101658</v>
      </c>
      <c r="D280" s="8" t="n">
        <v>90252</v>
      </c>
      <c r="E280" s="8" t="n">
        <v>90252</v>
      </c>
      <c r="F280" s="8" t="n">
        <v>8156</v>
      </c>
      <c r="G280" s="8" t="n">
        <v>0</v>
      </c>
      <c r="H280" s="8" t="n">
        <v>200</v>
      </c>
      <c r="I280" s="8" t="n">
        <v>3050</v>
      </c>
      <c r="J280" s="9" t="n">
        <v>0</v>
      </c>
      <c r="K280" s="4">
        <f>IFERROR(INDEX('02_Employee_Master'!$D:$D,MATCH(A280,'02_Employee_Master'!$A:$A,0)),"")</f>
        <v/>
      </c>
      <c r="L280" s="4">
        <f>IFERROR(INDEX('02_Employee_Master'!$J:$J,MATCH(A280,'02_Employee_Master'!$A:$A,0)),"")</f>
        <v/>
      </c>
    </row>
    <row r="281">
      <c r="A281" s="4" t="inlineStr">
        <is>
          <t>E280</t>
        </is>
      </c>
      <c r="B281" s="4" t="inlineStr">
        <is>
          <t>C020</t>
        </is>
      </c>
      <c r="C281" s="8" t="n">
        <v>75472</v>
      </c>
      <c r="D281" s="8" t="n">
        <v>69269</v>
      </c>
      <c r="E281" s="8" t="n">
        <v>69269</v>
      </c>
      <c r="F281" s="8" t="n">
        <v>6003</v>
      </c>
      <c r="G281" s="8" t="n">
        <v>0</v>
      </c>
      <c r="H281" s="8" t="n">
        <v>200</v>
      </c>
      <c r="I281" s="8" t="n">
        <v>0</v>
      </c>
      <c r="J281" s="9" t="n">
        <v>0</v>
      </c>
      <c r="K281" s="4">
        <f>IFERROR(INDEX('02_Employee_Master'!$D:$D,MATCH(A281,'02_Employee_Master'!$A:$A,0)),"")</f>
        <v/>
      </c>
      <c r="L281" s="4">
        <f>IFERROR(INDEX('02_Employee_Master'!$J:$J,MATCH(A281,'02_Employee_Master'!$A:$A,0)),"")</f>
        <v/>
      </c>
    </row>
    <row r="282">
      <c r="A282" s="4" t="inlineStr">
        <is>
          <t>E281</t>
        </is>
      </c>
      <c r="B282" s="4" t="inlineStr">
        <is>
          <t>C007</t>
        </is>
      </c>
      <c r="C282" s="8" t="n">
        <v>89049</v>
      </c>
      <c r="D282" s="8" t="n">
        <v>82342</v>
      </c>
      <c r="E282" s="8" t="n">
        <v>82342</v>
      </c>
      <c r="F282" s="8" t="n">
        <v>6507</v>
      </c>
      <c r="G282" s="8" t="n">
        <v>0</v>
      </c>
      <c r="H282" s="8" t="n">
        <v>200</v>
      </c>
      <c r="I282" s="8" t="n">
        <v>0</v>
      </c>
      <c r="J282" s="9" t="n">
        <v>0</v>
      </c>
      <c r="K282" s="4">
        <f>IFERROR(INDEX('02_Employee_Master'!$D:$D,MATCH(A282,'02_Employee_Master'!$A:$A,0)),"")</f>
        <v/>
      </c>
      <c r="L282" s="4">
        <f>IFERROR(INDEX('02_Employee_Master'!$J:$J,MATCH(A282,'02_Employee_Master'!$A:$A,0)),"")</f>
        <v/>
      </c>
    </row>
    <row r="283">
      <c r="A283" s="4" t="inlineStr">
        <is>
          <t>E282</t>
        </is>
      </c>
      <c r="B283" s="4" t="inlineStr">
        <is>
          <t>C019</t>
        </is>
      </c>
      <c r="C283" s="8" t="n">
        <v>86389</v>
      </c>
      <c r="D283" s="8" t="n">
        <v>79746</v>
      </c>
      <c r="E283" s="8" t="n">
        <v>73303</v>
      </c>
      <c r="F283" s="8" t="n">
        <v>6443</v>
      </c>
      <c r="G283" s="8" t="n">
        <v>0</v>
      </c>
      <c r="H283" s="8" t="n">
        <v>200</v>
      </c>
      <c r="I283" s="8" t="n">
        <v>0</v>
      </c>
      <c r="J283" s="9" t="n">
        <v>-6443</v>
      </c>
      <c r="K283" s="4">
        <f>IFERROR(INDEX('02_Employee_Master'!$D:$D,MATCH(A283,'02_Employee_Master'!$A:$A,0)),"")</f>
        <v/>
      </c>
      <c r="L283" s="4">
        <f>IFERROR(INDEX('02_Employee_Master'!$J:$J,MATCH(A283,'02_Employee_Master'!$A:$A,0)),"")</f>
        <v/>
      </c>
    </row>
    <row r="284">
      <c r="A284" s="4" t="inlineStr">
        <is>
          <t>E283</t>
        </is>
      </c>
      <c r="B284" s="4" t="inlineStr">
        <is>
          <t>C037</t>
        </is>
      </c>
      <c r="C284" s="8" t="n">
        <v>80925</v>
      </c>
      <c r="D284" s="8" t="n">
        <v>74152</v>
      </c>
      <c r="E284" s="8" t="n">
        <v>74152</v>
      </c>
      <c r="F284" s="8" t="n">
        <v>6573</v>
      </c>
      <c r="G284" s="8" t="n">
        <v>0</v>
      </c>
      <c r="H284" s="8" t="n">
        <v>200</v>
      </c>
      <c r="I284" s="8" t="n">
        <v>0</v>
      </c>
      <c r="J284" s="9" t="n">
        <v>0</v>
      </c>
      <c r="K284" s="4">
        <f>IFERROR(INDEX('02_Employee_Master'!$D:$D,MATCH(A284,'02_Employee_Master'!$A:$A,0)),"")</f>
        <v/>
      </c>
      <c r="L284" s="4">
        <f>IFERROR(INDEX('02_Employee_Master'!$J:$J,MATCH(A284,'02_Employee_Master'!$A:$A,0)),"")</f>
        <v/>
      </c>
    </row>
    <row r="285">
      <c r="A285" s="4" t="inlineStr">
        <is>
          <t>E284</t>
        </is>
      </c>
      <c r="B285" s="4" t="inlineStr">
        <is>
          <t>C006</t>
        </is>
      </c>
      <c r="C285" s="8" t="n">
        <v>67029</v>
      </c>
      <c r="D285" s="8" t="n">
        <v>61466</v>
      </c>
      <c r="E285" s="8" t="n">
        <v>61393</v>
      </c>
      <c r="F285" s="8" t="n">
        <v>5363</v>
      </c>
      <c r="G285" s="8" t="n">
        <v>0</v>
      </c>
      <c r="H285" s="8" t="n">
        <v>200</v>
      </c>
      <c r="I285" s="8" t="n">
        <v>0</v>
      </c>
      <c r="J285" s="9" t="n">
        <v>-73</v>
      </c>
      <c r="K285" s="4">
        <f>IFERROR(INDEX('02_Employee_Master'!$D:$D,MATCH(A285,'02_Employee_Master'!$A:$A,0)),"")</f>
        <v/>
      </c>
      <c r="L285" s="4">
        <f>IFERROR(INDEX('02_Employee_Master'!$J:$J,MATCH(A285,'02_Employee_Master'!$A:$A,0)),"")</f>
        <v/>
      </c>
    </row>
    <row r="286">
      <c r="A286" s="4" t="inlineStr">
        <is>
          <t>E285</t>
        </is>
      </c>
      <c r="B286" s="4" t="inlineStr">
        <is>
          <t>C034</t>
        </is>
      </c>
      <c r="C286" s="8" t="n">
        <v>86366</v>
      </c>
      <c r="D286" s="8" t="n">
        <v>79326</v>
      </c>
      <c r="E286" s="8" t="n">
        <v>79326</v>
      </c>
      <c r="F286" s="8" t="n">
        <v>6840</v>
      </c>
      <c r="G286" s="8" t="n">
        <v>0</v>
      </c>
      <c r="H286" s="8" t="n">
        <v>200</v>
      </c>
      <c r="I286" s="8" t="n">
        <v>0</v>
      </c>
      <c r="J286" s="9" t="n">
        <v>0</v>
      </c>
      <c r="K286" s="4">
        <f>IFERROR(INDEX('02_Employee_Master'!$D:$D,MATCH(A286,'02_Employee_Master'!$A:$A,0)),"")</f>
        <v/>
      </c>
      <c r="L286" s="4">
        <f>IFERROR(INDEX('02_Employee_Master'!$J:$J,MATCH(A286,'02_Employee_Master'!$A:$A,0)),"")</f>
        <v/>
      </c>
    </row>
    <row r="287">
      <c r="A287" s="4" t="inlineStr">
        <is>
          <t>E286</t>
        </is>
      </c>
      <c r="B287" s="4" t="inlineStr">
        <is>
          <t>C005</t>
        </is>
      </c>
      <c r="C287" s="8" t="n">
        <v>63639</v>
      </c>
      <c r="D287" s="8" t="n">
        <v>58555</v>
      </c>
      <c r="E287" s="8" t="n">
        <v>53671</v>
      </c>
      <c r="F287" s="8" t="n">
        <v>4884</v>
      </c>
      <c r="G287" s="8" t="n">
        <v>0</v>
      </c>
      <c r="H287" s="8" t="n">
        <v>200</v>
      </c>
      <c r="I287" s="8" t="n">
        <v>0</v>
      </c>
      <c r="J287" s="9" t="n">
        <v>-4884</v>
      </c>
      <c r="K287" s="4">
        <f>IFERROR(INDEX('02_Employee_Master'!$D:$D,MATCH(A287,'02_Employee_Master'!$A:$A,0)),"")</f>
        <v/>
      </c>
      <c r="L287" s="4">
        <f>IFERROR(INDEX('02_Employee_Master'!$J:$J,MATCH(A287,'02_Employee_Master'!$A:$A,0)),"")</f>
        <v/>
      </c>
    </row>
    <row r="288">
      <c r="A288" s="4" t="inlineStr">
        <is>
          <t>E287</t>
        </is>
      </c>
      <c r="B288" s="4" t="inlineStr">
        <is>
          <t>C005</t>
        </is>
      </c>
      <c r="C288" s="8" t="n">
        <v>43385</v>
      </c>
      <c r="D288" s="8" t="n">
        <v>40565</v>
      </c>
      <c r="E288" s="8" t="n">
        <v>37945</v>
      </c>
      <c r="F288" s="8" t="n">
        <v>2620</v>
      </c>
      <c r="G288" s="8" t="n">
        <v>0</v>
      </c>
      <c r="H288" s="8" t="n">
        <v>200</v>
      </c>
      <c r="I288" s="8" t="n">
        <v>0</v>
      </c>
      <c r="J288" s="9" t="n">
        <v>-2620</v>
      </c>
      <c r="K288" s="4">
        <f>IFERROR(INDEX('02_Employee_Master'!$D:$D,MATCH(A288,'02_Employee_Master'!$A:$A,0)),"")</f>
        <v/>
      </c>
      <c r="L288" s="4">
        <f>IFERROR(INDEX('02_Employee_Master'!$J:$J,MATCH(A288,'02_Employee_Master'!$A:$A,0)),"")</f>
        <v/>
      </c>
    </row>
    <row r="289">
      <c r="A289" s="4" t="inlineStr">
        <is>
          <t>E288</t>
        </is>
      </c>
      <c r="B289" s="4" t="inlineStr">
        <is>
          <t>C014</t>
        </is>
      </c>
      <c r="C289" s="8" t="n">
        <v>35213</v>
      </c>
      <c r="D289" s="8" t="n">
        <v>32687</v>
      </c>
      <c r="E289" s="8" t="n">
        <v>32687</v>
      </c>
      <c r="F289" s="8" t="n">
        <v>2326</v>
      </c>
      <c r="G289" s="8" t="n">
        <v>0</v>
      </c>
      <c r="H289" s="8" t="n">
        <v>200</v>
      </c>
      <c r="I289" s="8" t="n">
        <v>0</v>
      </c>
      <c r="J289" s="9" t="n">
        <v>0</v>
      </c>
      <c r="K289" s="4">
        <f>IFERROR(INDEX('02_Employee_Master'!$D:$D,MATCH(A289,'02_Employee_Master'!$A:$A,0)),"")</f>
        <v/>
      </c>
      <c r="L289" s="4">
        <f>IFERROR(INDEX('02_Employee_Master'!$J:$J,MATCH(A289,'02_Employee_Master'!$A:$A,0)),"")</f>
        <v/>
      </c>
    </row>
    <row r="290">
      <c r="A290" s="4" t="inlineStr">
        <is>
          <t>E289</t>
        </is>
      </c>
      <c r="B290" s="4" t="inlineStr">
        <is>
          <t>C020</t>
        </is>
      </c>
      <c r="C290" s="8" t="n">
        <v>129672</v>
      </c>
      <c r="D290" s="8" t="n">
        <v>115197</v>
      </c>
      <c r="E290" s="8" t="n">
        <v>115197</v>
      </c>
      <c r="F290" s="8" t="n">
        <v>10385</v>
      </c>
      <c r="G290" s="8" t="n">
        <v>0</v>
      </c>
      <c r="H290" s="8" t="n">
        <v>200</v>
      </c>
      <c r="I290" s="8" t="n">
        <v>3890</v>
      </c>
      <c r="J290" s="9" t="n">
        <v>0</v>
      </c>
      <c r="K290" s="4">
        <f>IFERROR(INDEX('02_Employee_Master'!$D:$D,MATCH(A290,'02_Employee_Master'!$A:$A,0)),"")</f>
        <v/>
      </c>
      <c r="L290" s="4">
        <f>IFERROR(INDEX('02_Employee_Master'!$J:$J,MATCH(A290,'02_Employee_Master'!$A:$A,0)),"")</f>
        <v/>
      </c>
    </row>
    <row r="291">
      <c r="A291" s="4" t="inlineStr">
        <is>
          <t>E290</t>
        </is>
      </c>
      <c r="B291" s="4" t="inlineStr">
        <is>
          <t>C022</t>
        </is>
      </c>
      <c r="C291" s="8" t="n">
        <v>71645</v>
      </c>
      <c r="D291" s="8" t="n">
        <v>65676</v>
      </c>
      <c r="E291" s="8" t="n">
        <v>65676</v>
      </c>
      <c r="F291" s="8" t="n">
        <v>5769</v>
      </c>
      <c r="G291" s="8" t="n">
        <v>0</v>
      </c>
      <c r="H291" s="8" t="n">
        <v>200</v>
      </c>
      <c r="I291" s="8" t="n">
        <v>0</v>
      </c>
      <c r="J291" s="9" t="n">
        <v>0</v>
      </c>
      <c r="K291" s="4">
        <f>IFERROR(INDEX('02_Employee_Master'!$D:$D,MATCH(A291,'02_Employee_Master'!$A:$A,0)),"")</f>
        <v/>
      </c>
      <c r="L291" s="4">
        <f>IFERROR(INDEX('02_Employee_Master'!$J:$J,MATCH(A291,'02_Employee_Master'!$A:$A,0)),"")</f>
        <v/>
      </c>
    </row>
    <row r="292">
      <c r="A292" s="4" t="inlineStr">
        <is>
          <t>E291</t>
        </is>
      </c>
      <c r="B292" s="4" t="inlineStr">
        <is>
          <t>C020</t>
        </is>
      </c>
      <c r="C292" s="8" t="n">
        <v>115589</v>
      </c>
      <c r="D292" s="8" t="n">
        <v>102559</v>
      </c>
      <c r="E292" s="8" t="n">
        <v>102559</v>
      </c>
      <c r="F292" s="8" t="n">
        <v>9362</v>
      </c>
      <c r="G292" s="8" t="n">
        <v>0</v>
      </c>
      <c r="H292" s="8" t="n">
        <v>200</v>
      </c>
      <c r="I292" s="8" t="n">
        <v>3468</v>
      </c>
      <c r="J292" s="9" t="n">
        <v>0</v>
      </c>
      <c r="K292" s="4">
        <f>IFERROR(INDEX('02_Employee_Master'!$D:$D,MATCH(A292,'02_Employee_Master'!$A:$A,0)),"")</f>
        <v/>
      </c>
      <c r="L292" s="4">
        <f>IFERROR(INDEX('02_Employee_Master'!$J:$J,MATCH(A292,'02_Employee_Master'!$A:$A,0)),"")</f>
        <v/>
      </c>
    </row>
    <row r="293">
      <c r="A293" s="4" t="inlineStr">
        <is>
          <t>E292</t>
        </is>
      </c>
      <c r="B293" s="4" t="inlineStr">
        <is>
          <t>C044</t>
        </is>
      </c>
      <c r="C293" s="8" t="n">
        <v>85797</v>
      </c>
      <c r="D293" s="8" t="n">
        <v>77106</v>
      </c>
      <c r="E293" s="8" t="n">
        <v>77106</v>
      </c>
      <c r="F293" s="8" t="n">
        <v>6645</v>
      </c>
      <c r="G293" s="8" t="n">
        <v>0</v>
      </c>
      <c r="H293" s="8" t="n">
        <v>200</v>
      </c>
      <c r="I293" s="8" t="n">
        <v>0</v>
      </c>
      <c r="J293" s="9" t="n">
        <v>0</v>
      </c>
      <c r="K293" s="4">
        <f>IFERROR(INDEX('02_Employee_Master'!$D:$D,MATCH(A293,'02_Employee_Master'!$A:$A,0)),"")</f>
        <v/>
      </c>
      <c r="L293" s="4">
        <f>IFERROR(INDEX('02_Employee_Master'!$J:$J,MATCH(A293,'02_Employee_Master'!$A:$A,0)),"")</f>
        <v/>
      </c>
    </row>
    <row r="294">
      <c r="A294" s="4" t="inlineStr">
        <is>
          <t>E293</t>
        </is>
      </c>
      <c r="B294" s="4" t="inlineStr">
        <is>
          <t>C037</t>
        </is>
      </c>
      <c r="C294" s="8" t="n">
        <v>100075</v>
      </c>
      <c r="D294" s="8" t="n">
        <v>89236</v>
      </c>
      <c r="E294" s="8" t="n">
        <v>89236</v>
      </c>
      <c r="F294" s="8" t="n">
        <v>7637</v>
      </c>
      <c r="G294" s="8" t="n">
        <v>0</v>
      </c>
      <c r="H294" s="8" t="n">
        <v>200</v>
      </c>
      <c r="I294" s="8" t="n">
        <v>3002</v>
      </c>
      <c r="J294" s="9" t="n">
        <v>0</v>
      </c>
      <c r="K294" s="4">
        <f>IFERROR(INDEX('02_Employee_Master'!$D:$D,MATCH(A294,'02_Employee_Master'!$A:$A,0)),"")</f>
        <v/>
      </c>
      <c r="L294" s="4">
        <f>IFERROR(INDEX('02_Employee_Master'!$J:$J,MATCH(A294,'02_Employee_Master'!$A:$A,0)),"")</f>
        <v/>
      </c>
    </row>
    <row r="295">
      <c r="A295" s="4" t="inlineStr">
        <is>
          <t>E294</t>
        </is>
      </c>
      <c r="B295" s="4" t="inlineStr">
        <is>
          <t>C005</t>
        </is>
      </c>
      <c r="C295" s="8" t="n">
        <v>100910</v>
      </c>
      <c r="D295" s="8" t="n">
        <v>89917</v>
      </c>
      <c r="E295" s="8" t="n">
        <v>82151</v>
      </c>
      <c r="F295" s="8" t="n">
        <v>7766</v>
      </c>
      <c r="G295" s="8" t="n">
        <v>0</v>
      </c>
      <c r="H295" s="8" t="n">
        <v>200</v>
      </c>
      <c r="I295" s="8" t="n">
        <v>3027</v>
      </c>
      <c r="J295" s="9" t="n">
        <v>-7766</v>
      </c>
      <c r="K295" s="4">
        <f>IFERROR(INDEX('02_Employee_Master'!$D:$D,MATCH(A295,'02_Employee_Master'!$A:$A,0)),"")</f>
        <v/>
      </c>
      <c r="L295" s="4">
        <f>IFERROR(INDEX('02_Employee_Master'!$J:$J,MATCH(A295,'02_Employee_Master'!$A:$A,0)),"")</f>
        <v/>
      </c>
    </row>
    <row r="296">
      <c r="A296" s="4" t="inlineStr">
        <is>
          <t>E295</t>
        </is>
      </c>
      <c r="B296" s="4" t="inlineStr">
        <is>
          <t>C001</t>
        </is>
      </c>
      <c r="C296" s="8" t="n">
        <v>65569</v>
      </c>
      <c r="D296" s="8" t="n">
        <v>60159</v>
      </c>
      <c r="E296" s="8" t="n">
        <v>60159</v>
      </c>
      <c r="F296" s="8" t="n">
        <v>5210</v>
      </c>
      <c r="G296" s="8" t="n">
        <v>0</v>
      </c>
      <c r="H296" s="8" t="n">
        <v>200</v>
      </c>
      <c r="I296" s="8" t="n">
        <v>0</v>
      </c>
      <c r="J296" s="9" t="n">
        <v>0</v>
      </c>
      <c r="K296" s="4">
        <f>IFERROR(INDEX('02_Employee_Master'!$D:$D,MATCH(A296,'02_Employee_Master'!$A:$A,0)),"")</f>
        <v/>
      </c>
      <c r="L296" s="4">
        <f>IFERROR(INDEX('02_Employee_Master'!$J:$J,MATCH(A296,'02_Employee_Master'!$A:$A,0)),"")</f>
        <v/>
      </c>
    </row>
    <row r="297">
      <c r="A297" s="4" t="inlineStr">
        <is>
          <t>E296</t>
        </is>
      </c>
      <c r="B297" s="4" t="inlineStr">
        <is>
          <t>C038</t>
        </is>
      </c>
      <c r="C297" s="8" t="n">
        <v>107695</v>
      </c>
      <c r="D297" s="8" t="n">
        <v>96006</v>
      </c>
      <c r="E297" s="8" t="n">
        <v>96006</v>
      </c>
      <c r="F297" s="8" t="n">
        <v>8258</v>
      </c>
      <c r="G297" s="8" t="n">
        <v>0</v>
      </c>
      <c r="H297" s="8" t="n">
        <v>200</v>
      </c>
      <c r="I297" s="8" t="n">
        <v>3231</v>
      </c>
      <c r="J297" s="9" t="n">
        <v>0</v>
      </c>
      <c r="K297" s="4">
        <f>IFERROR(INDEX('02_Employee_Master'!$D:$D,MATCH(A297,'02_Employee_Master'!$A:$A,0)),"")</f>
        <v/>
      </c>
      <c r="L297" s="4">
        <f>IFERROR(INDEX('02_Employee_Master'!$J:$J,MATCH(A297,'02_Employee_Master'!$A:$A,0)),"")</f>
        <v/>
      </c>
    </row>
    <row r="298">
      <c r="A298" s="4" t="inlineStr">
        <is>
          <t>E297</t>
        </is>
      </c>
      <c r="B298" s="4" t="inlineStr">
        <is>
          <t>C007</t>
        </is>
      </c>
      <c r="C298" s="8" t="n">
        <v>139407</v>
      </c>
      <c r="D298" s="8" t="n">
        <v>124524</v>
      </c>
      <c r="E298" s="8" t="n">
        <v>124524</v>
      </c>
      <c r="F298" s="8" t="n">
        <v>10501</v>
      </c>
      <c r="G298" s="8" t="n">
        <v>0</v>
      </c>
      <c r="H298" s="8" t="n">
        <v>200</v>
      </c>
      <c r="I298" s="8" t="n">
        <v>4182</v>
      </c>
      <c r="J298" s="9" t="n">
        <v>0</v>
      </c>
      <c r="K298" s="4">
        <f>IFERROR(INDEX('02_Employee_Master'!$D:$D,MATCH(A298,'02_Employee_Master'!$A:$A,0)),"")</f>
        <v/>
      </c>
      <c r="L298" s="4">
        <f>IFERROR(INDEX('02_Employee_Master'!$J:$J,MATCH(A298,'02_Employee_Master'!$A:$A,0)),"")</f>
        <v/>
      </c>
    </row>
    <row r="299">
      <c r="A299" s="4" t="inlineStr">
        <is>
          <t>E298</t>
        </is>
      </c>
      <c r="B299" s="4" t="inlineStr">
        <is>
          <t>C029</t>
        </is>
      </c>
      <c r="C299" s="8" t="n">
        <v>95994</v>
      </c>
      <c r="D299" s="8" t="n">
        <v>88574</v>
      </c>
      <c r="E299" s="8" t="n">
        <v>88574</v>
      </c>
      <c r="F299" s="8" t="n">
        <v>7220</v>
      </c>
      <c r="G299" s="8" t="n">
        <v>0</v>
      </c>
      <c r="H299" s="8" t="n">
        <v>200</v>
      </c>
      <c r="I299" s="8" t="n">
        <v>0</v>
      </c>
      <c r="J299" s="9" t="n">
        <v>0</v>
      </c>
      <c r="K299" s="4">
        <f>IFERROR(INDEX('02_Employee_Master'!$D:$D,MATCH(A299,'02_Employee_Master'!$A:$A,0)),"")</f>
        <v/>
      </c>
      <c r="L299" s="4">
        <f>IFERROR(INDEX('02_Employee_Master'!$J:$J,MATCH(A299,'02_Employee_Master'!$A:$A,0)),"")</f>
        <v/>
      </c>
    </row>
    <row r="300">
      <c r="A300" s="4" t="inlineStr">
        <is>
          <t>E299</t>
        </is>
      </c>
      <c r="B300" s="4" t="inlineStr">
        <is>
          <t>C003</t>
        </is>
      </c>
      <c r="C300" s="8" t="n">
        <v>61576</v>
      </c>
      <c r="D300" s="8" t="n">
        <v>56789</v>
      </c>
      <c r="E300" s="8" t="n">
        <v>56789</v>
      </c>
      <c r="F300" s="8" t="n">
        <v>4587</v>
      </c>
      <c r="G300" s="8" t="n">
        <v>0</v>
      </c>
      <c r="H300" s="8" t="n">
        <v>200</v>
      </c>
      <c r="I300" s="8" t="n">
        <v>0</v>
      </c>
      <c r="J300" s="9" t="n">
        <v>0</v>
      </c>
      <c r="K300" s="4">
        <f>IFERROR(INDEX('02_Employee_Master'!$D:$D,MATCH(A300,'02_Employee_Master'!$A:$A,0)),"")</f>
        <v/>
      </c>
      <c r="L300" s="4">
        <f>IFERROR(INDEX('02_Employee_Master'!$J:$J,MATCH(A300,'02_Employee_Master'!$A:$A,0)),"")</f>
        <v/>
      </c>
    </row>
    <row r="301">
      <c r="A301" s="4" t="inlineStr">
        <is>
          <t>E300</t>
        </is>
      </c>
      <c r="B301" s="4" t="inlineStr">
        <is>
          <t>C010</t>
        </is>
      </c>
      <c r="C301" s="8" t="n">
        <v>48438</v>
      </c>
      <c r="D301" s="8" t="n">
        <v>44465</v>
      </c>
      <c r="E301" s="8" t="n">
        <v>44465</v>
      </c>
      <c r="F301" s="8" t="n">
        <v>3773</v>
      </c>
      <c r="G301" s="8" t="n">
        <v>0</v>
      </c>
      <c r="H301" s="8" t="n">
        <v>200</v>
      </c>
      <c r="I301" s="8" t="n">
        <v>0</v>
      </c>
      <c r="J301" s="9" t="n">
        <v>0</v>
      </c>
      <c r="K301" s="4">
        <f>IFERROR(INDEX('02_Employee_Master'!$D:$D,MATCH(A301,'02_Employee_Master'!$A:$A,0)),"")</f>
        <v/>
      </c>
      <c r="L301" s="4">
        <f>IFERROR(INDEX('02_Employee_Master'!$J:$J,MATCH(A301,'02_Employee_Master'!$A:$A,0)),"")</f>
        <v/>
      </c>
    </row>
  </sheetData>
  <conditionalFormatting sqref="J2:J301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3" customWidth="1" min="4" max="4"/>
    <col width="13" customWidth="1" min="5" max="5"/>
    <col width="13" customWidth="1" min="6" max="6"/>
    <col width="22" customWidth="1" min="7" max="7"/>
  </cols>
  <sheetData>
    <row r="1">
      <c r="A1" s="1" t="inlineStr">
        <is>
          <t>task_id</t>
        </is>
      </c>
      <c r="B1" s="1" t="inlineStr">
        <is>
          <t>customer_id</t>
        </is>
      </c>
      <c r="C1" s="1" t="inlineStr">
        <is>
          <t>task_name</t>
        </is>
      </c>
      <c r="D1" s="1" t="inlineStr">
        <is>
          <t>owner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company_name</t>
        </is>
      </c>
    </row>
    <row r="2">
      <c r="A2" s="4" t="inlineStr">
        <is>
          <t>T0001</t>
        </is>
      </c>
      <c r="B2" s="4" t="inlineStr">
        <is>
          <t>C001</t>
        </is>
      </c>
      <c r="C2" s="4" t="inlineStr">
        <is>
          <t>Company Info &amp; KYC</t>
        </is>
      </c>
      <c r="D2" s="4" t="inlineStr">
        <is>
          <t>Customer</t>
        </is>
      </c>
      <c r="E2" s="5" t="n">
        <v>46247</v>
      </c>
      <c r="F2" s="4" t="inlineStr">
        <is>
          <t>Completed</t>
        </is>
      </c>
      <c r="G2" s="4">
        <f>IFERROR(INDEX('01_Customer_Tracker'!$B:$B,MATCH(B2,'01_Customer_Tracker'!$A:$A,0)),"")</f>
        <v/>
      </c>
    </row>
    <row r="3">
      <c r="A3" s="4" t="inlineStr">
        <is>
          <t>T0002</t>
        </is>
      </c>
      <c r="B3" s="4" t="inlineStr">
        <is>
          <t>C001</t>
        </is>
      </c>
      <c r="C3" s="4" t="inlineStr">
        <is>
          <t>Document Collection</t>
        </is>
      </c>
      <c r="D3" s="4" t="inlineStr">
        <is>
          <t>Customer</t>
        </is>
      </c>
      <c r="E3" s="5" t="n">
        <v>46250</v>
      </c>
      <c r="F3" s="4" t="inlineStr">
        <is>
          <t>Completed</t>
        </is>
      </c>
      <c r="G3" s="4">
        <f>IFERROR(INDEX('01_Customer_Tracker'!$B:$B,MATCH(B3,'01_Customer_Tracker'!$A:$A,0)),"")</f>
        <v/>
      </c>
    </row>
    <row r="4">
      <c r="A4" s="4" t="inlineStr">
        <is>
          <t>T0003</t>
        </is>
      </c>
      <c r="B4" s="4" t="inlineStr">
        <is>
          <t>C001</t>
        </is>
      </c>
      <c r="C4" s="4" t="inlineStr">
        <is>
          <t>Employee Data Upload</t>
        </is>
      </c>
      <c r="D4" s="4" t="inlineStr">
        <is>
          <t>Customer</t>
        </is>
      </c>
      <c r="E4" s="5" t="n">
        <v>46254</v>
      </c>
      <c r="F4" s="4" t="inlineStr">
        <is>
          <t>Completed</t>
        </is>
      </c>
      <c r="G4" s="4">
        <f>IFERROR(INDEX('01_Customer_Tracker'!$B:$B,MATCH(B4,'01_Customer_Tracker'!$A:$A,0)),"")</f>
        <v/>
      </c>
    </row>
    <row r="5">
      <c r="A5" s="4" t="inlineStr">
        <is>
          <t>T0004</t>
        </is>
      </c>
      <c r="B5" s="4" t="inlineStr">
        <is>
          <t>C001</t>
        </is>
      </c>
      <c r="C5" s="4" t="inlineStr">
        <is>
          <t>Bank Details Verification</t>
        </is>
      </c>
      <c r="D5" s="4" t="inlineStr">
        <is>
          <t>Ops</t>
        </is>
      </c>
      <c r="E5" s="5" t="n">
        <v>46258</v>
      </c>
      <c r="F5" s="4" t="inlineStr">
        <is>
          <t>Completed</t>
        </is>
      </c>
      <c r="G5" s="4">
        <f>IFERROR(INDEX('01_Customer_Tracker'!$B:$B,MATCH(B5,'01_Customer_Tracker'!$A:$A,0)),"")</f>
        <v/>
      </c>
    </row>
    <row r="6">
      <c r="A6" s="4" t="inlineStr">
        <is>
          <t>T0005</t>
        </is>
      </c>
      <c r="B6" s="4" t="inlineStr">
        <is>
          <t>C001</t>
        </is>
      </c>
      <c r="C6" s="4" t="inlineStr">
        <is>
          <t>PAN / UAN Verification</t>
        </is>
      </c>
      <c r="D6" s="4" t="inlineStr">
        <is>
          <t>Ops</t>
        </is>
      </c>
      <c r="E6" s="5" t="n">
        <v>46260</v>
      </c>
      <c r="F6" s="4" t="inlineStr">
        <is>
          <t>Completed</t>
        </is>
      </c>
      <c r="G6" s="4">
        <f>IFERROR(INDEX('01_Customer_Tracker'!$B:$B,MATCH(B6,'01_Customer_Tracker'!$A:$A,0)),"")</f>
        <v/>
      </c>
    </row>
    <row r="7">
      <c r="A7" s="4" t="inlineStr">
        <is>
          <t>T0006</t>
        </is>
      </c>
      <c r="B7" s="4" t="inlineStr">
        <is>
          <t>C001</t>
        </is>
      </c>
      <c r="C7" s="4" t="inlineStr">
        <is>
          <t>Attendance &amp; Leave Config</t>
        </is>
      </c>
      <c r="D7" s="4" t="inlineStr">
        <is>
          <t>Payroll Ops</t>
        </is>
      </c>
      <c r="E7" s="5" t="n">
        <v>46264</v>
      </c>
      <c r="F7" s="4" t="inlineStr">
        <is>
          <t>Completed</t>
        </is>
      </c>
      <c r="G7" s="4">
        <f>IFERROR(INDEX('01_Customer_Tracker'!$B:$B,MATCH(B7,'01_Customer_Tracker'!$A:$A,0)),"")</f>
        <v/>
      </c>
    </row>
    <row r="8">
      <c r="A8" s="4" t="inlineStr">
        <is>
          <t>T0007</t>
        </is>
      </c>
      <c r="B8" s="4" t="inlineStr">
        <is>
          <t>C001</t>
        </is>
      </c>
      <c r="C8" s="4" t="inlineStr">
        <is>
          <t>Salary Structure Mapping</t>
        </is>
      </c>
      <c r="D8" s="4" t="inlineStr">
        <is>
          <t>Payroll Ops</t>
        </is>
      </c>
      <c r="E8" s="5" t="n">
        <v>46267</v>
      </c>
      <c r="F8" s="4" t="inlineStr">
        <is>
          <t>Completed</t>
        </is>
      </c>
      <c r="G8" s="4">
        <f>IFERROR(INDEX('01_Customer_Tracker'!$B:$B,MATCH(B8,'01_Customer_Tracker'!$A:$A,0)),"")</f>
        <v/>
      </c>
    </row>
    <row r="9">
      <c r="A9" s="4" t="inlineStr">
        <is>
          <t>T0008</t>
        </is>
      </c>
      <c r="B9" s="4" t="inlineStr">
        <is>
          <t>C001</t>
        </is>
      </c>
      <c r="C9" s="4" t="inlineStr">
        <is>
          <t>Pre-run Reconciliation</t>
        </is>
      </c>
      <c r="D9" s="4" t="inlineStr">
        <is>
          <t>Payroll Ops</t>
        </is>
      </c>
      <c r="E9" s="5" t="n">
        <v>46272</v>
      </c>
      <c r="F9" s="4" t="inlineStr">
        <is>
          <t>Completed</t>
        </is>
      </c>
      <c r="G9" s="4">
        <f>IFERROR(INDEX('01_Customer_Tracker'!$B:$B,MATCH(B9,'01_Customer_Tracker'!$A:$A,0)),"")</f>
        <v/>
      </c>
    </row>
    <row r="10">
      <c r="A10" s="4" t="inlineStr">
        <is>
          <t>T0009</t>
        </is>
      </c>
      <c r="B10" s="4" t="inlineStr">
        <is>
          <t>C001</t>
        </is>
      </c>
      <c r="C10" s="4" t="inlineStr">
        <is>
          <t>Customer Approval Sign-off</t>
        </is>
      </c>
      <c r="D10" s="4" t="inlineStr">
        <is>
          <t>Customer</t>
        </is>
      </c>
      <c r="E10" s="5" t="n">
        <v>46276</v>
      </c>
      <c r="F10" s="4" t="inlineStr">
        <is>
          <t>Blocked</t>
        </is>
      </c>
      <c r="G10" s="4">
        <f>IFERROR(INDEX('01_Customer_Tracker'!$B:$B,MATCH(B10,'01_Customer_Tracker'!$A:$A,0)),"")</f>
        <v/>
      </c>
    </row>
    <row r="11">
      <c r="A11" s="4" t="inlineStr">
        <is>
          <t>T0010</t>
        </is>
      </c>
      <c r="B11" s="4" t="inlineStr">
        <is>
          <t>C002</t>
        </is>
      </c>
      <c r="C11" s="4" t="inlineStr">
        <is>
          <t>Company Info &amp; KYC</t>
        </is>
      </c>
      <c r="D11" s="4" t="inlineStr">
        <is>
          <t>Customer</t>
        </is>
      </c>
      <c r="E11" s="5" t="n">
        <v>46229</v>
      </c>
      <c r="F11" s="4" t="inlineStr">
        <is>
          <t>Completed</t>
        </is>
      </c>
      <c r="G11" s="4">
        <f>IFERROR(INDEX('01_Customer_Tracker'!$B:$B,MATCH(B11,'01_Customer_Tracker'!$A:$A,0)),"")</f>
        <v/>
      </c>
    </row>
    <row r="12">
      <c r="A12" s="4" t="inlineStr">
        <is>
          <t>T0011</t>
        </is>
      </c>
      <c r="B12" s="4" t="inlineStr">
        <is>
          <t>C002</t>
        </is>
      </c>
      <c r="C12" s="4" t="inlineStr">
        <is>
          <t>Document Collection</t>
        </is>
      </c>
      <c r="D12" s="4" t="inlineStr">
        <is>
          <t>Customer</t>
        </is>
      </c>
      <c r="E12" s="5" t="n">
        <v>46232</v>
      </c>
      <c r="F12" s="4" t="inlineStr">
        <is>
          <t>Pending</t>
        </is>
      </c>
      <c r="G12" s="4">
        <f>IFERROR(INDEX('01_Customer_Tracker'!$B:$B,MATCH(B12,'01_Customer_Tracker'!$A:$A,0)),"")</f>
        <v/>
      </c>
    </row>
    <row r="13">
      <c r="A13" s="4" t="inlineStr">
        <is>
          <t>T0012</t>
        </is>
      </c>
      <c r="B13" s="4" t="inlineStr">
        <is>
          <t>C002</t>
        </is>
      </c>
      <c r="C13" s="4" t="inlineStr">
        <is>
          <t>Employee Data Upload</t>
        </is>
      </c>
      <c r="D13" s="4" t="inlineStr">
        <is>
          <t>Customer</t>
        </is>
      </c>
      <c r="E13" s="5" t="n">
        <v>46236</v>
      </c>
      <c r="F13" s="4" t="inlineStr">
        <is>
          <t>Pending</t>
        </is>
      </c>
      <c r="G13" s="4">
        <f>IFERROR(INDEX('01_Customer_Tracker'!$B:$B,MATCH(B13,'01_Customer_Tracker'!$A:$A,0)),"")</f>
        <v/>
      </c>
    </row>
    <row r="14">
      <c r="A14" s="4" t="inlineStr">
        <is>
          <t>T0013</t>
        </is>
      </c>
      <c r="B14" s="4" t="inlineStr">
        <is>
          <t>C002</t>
        </is>
      </c>
      <c r="C14" s="4" t="inlineStr">
        <is>
          <t>Bank Details Verification</t>
        </is>
      </c>
      <c r="D14" s="4" t="inlineStr">
        <is>
          <t>Ops</t>
        </is>
      </c>
      <c r="E14" s="5" t="n">
        <v>46240</v>
      </c>
      <c r="F14" s="4" t="inlineStr">
        <is>
          <t>Pending</t>
        </is>
      </c>
      <c r="G14" s="4">
        <f>IFERROR(INDEX('01_Customer_Tracker'!$B:$B,MATCH(B14,'01_Customer_Tracker'!$A:$A,0)),"")</f>
        <v/>
      </c>
    </row>
    <row r="15">
      <c r="A15" s="4" t="inlineStr">
        <is>
          <t>T0014</t>
        </is>
      </c>
      <c r="B15" s="4" t="inlineStr">
        <is>
          <t>C002</t>
        </is>
      </c>
      <c r="C15" s="4" t="inlineStr">
        <is>
          <t>PAN / UAN Verification</t>
        </is>
      </c>
      <c r="D15" s="4" t="inlineStr">
        <is>
          <t>Ops</t>
        </is>
      </c>
      <c r="E15" s="5" t="n">
        <v>46242</v>
      </c>
      <c r="F15" s="4" t="inlineStr">
        <is>
          <t>Pending</t>
        </is>
      </c>
      <c r="G15" s="4">
        <f>IFERROR(INDEX('01_Customer_Tracker'!$B:$B,MATCH(B15,'01_Customer_Tracker'!$A:$A,0)),"")</f>
        <v/>
      </c>
    </row>
    <row r="16">
      <c r="A16" s="4" t="inlineStr">
        <is>
          <t>T0015</t>
        </is>
      </c>
      <c r="B16" s="4" t="inlineStr">
        <is>
          <t>C002</t>
        </is>
      </c>
      <c r="C16" s="4" t="inlineStr">
        <is>
          <t>Attendance &amp; Leave Config</t>
        </is>
      </c>
      <c r="D16" s="4" t="inlineStr">
        <is>
          <t>Payroll Ops</t>
        </is>
      </c>
      <c r="E16" s="5" t="n">
        <v>46246</v>
      </c>
      <c r="F16" s="4" t="inlineStr">
        <is>
          <t>Pending</t>
        </is>
      </c>
      <c r="G16" s="4">
        <f>IFERROR(INDEX('01_Customer_Tracker'!$B:$B,MATCH(B16,'01_Customer_Tracker'!$A:$A,0)),"")</f>
        <v/>
      </c>
    </row>
    <row r="17">
      <c r="A17" s="4" t="inlineStr">
        <is>
          <t>T0016</t>
        </is>
      </c>
      <c r="B17" s="4" t="inlineStr">
        <is>
          <t>C002</t>
        </is>
      </c>
      <c r="C17" s="4" t="inlineStr">
        <is>
          <t>Salary Structure Mapping</t>
        </is>
      </c>
      <c r="D17" s="4" t="inlineStr">
        <is>
          <t>Payroll Ops</t>
        </is>
      </c>
      <c r="E17" s="5" t="n">
        <v>46249</v>
      </c>
      <c r="F17" s="4" t="inlineStr">
        <is>
          <t>Pending</t>
        </is>
      </c>
      <c r="G17" s="4">
        <f>IFERROR(INDEX('01_Customer_Tracker'!$B:$B,MATCH(B17,'01_Customer_Tracker'!$A:$A,0)),"")</f>
        <v/>
      </c>
    </row>
    <row r="18">
      <c r="A18" s="4" t="inlineStr">
        <is>
          <t>T0017</t>
        </is>
      </c>
      <c r="B18" s="4" t="inlineStr">
        <is>
          <t>C002</t>
        </is>
      </c>
      <c r="C18" s="4" t="inlineStr">
        <is>
          <t>Pre-run Reconciliation</t>
        </is>
      </c>
      <c r="D18" s="4" t="inlineStr">
        <is>
          <t>Payroll Ops</t>
        </is>
      </c>
      <c r="E18" s="5" t="n">
        <v>46254</v>
      </c>
      <c r="F18" s="4" t="inlineStr">
        <is>
          <t>Pending</t>
        </is>
      </c>
      <c r="G18" s="4">
        <f>IFERROR(INDEX('01_Customer_Tracker'!$B:$B,MATCH(B18,'01_Customer_Tracker'!$A:$A,0)),"")</f>
        <v/>
      </c>
    </row>
    <row r="19">
      <c r="A19" s="4" t="inlineStr">
        <is>
          <t>T0018</t>
        </is>
      </c>
      <c r="B19" s="4" t="inlineStr">
        <is>
          <t>C002</t>
        </is>
      </c>
      <c r="C19" s="4" t="inlineStr">
        <is>
          <t>Customer Approval Sign-off</t>
        </is>
      </c>
      <c r="D19" s="4" t="inlineStr">
        <is>
          <t>Customer</t>
        </is>
      </c>
      <c r="E19" s="5" t="n">
        <v>46258</v>
      </c>
      <c r="F19" s="4" t="inlineStr">
        <is>
          <t>Pending</t>
        </is>
      </c>
      <c r="G19" s="4">
        <f>IFERROR(INDEX('01_Customer_Tracker'!$B:$B,MATCH(B19,'01_Customer_Tracker'!$A:$A,0)),"")</f>
        <v/>
      </c>
    </row>
    <row r="20">
      <c r="A20" s="4" t="inlineStr">
        <is>
          <t>T0019</t>
        </is>
      </c>
      <c r="B20" s="4" t="inlineStr">
        <is>
          <t>C003</t>
        </is>
      </c>
      <c r="C20" s="4" t="inlineStr">
        <is>
          <t>Company Info &amp; KYC</t>
        </is>
      </c>
      <c r="D20" s="4" t="inlineStr">
        <is>
          <t>Customer</t>
        </is>
      </c>
      <c r="E20" s="5" t="n">
        <v>46225</v>
      </c>
      <c r="F20" s="4" t="inlineStr">
        <is>
          <t>Completed</t>
        </is>
      </c>
      <c r="G20" s="4">
        <f>IFERROR(INDEX('01_Customer_Tracker'!$B:$B,MATCH(B20,'01_Customer_Tracker'!$A:$A,0)),"")</f>
        <v/>
      </c>
    </row>
    <row r="21">
      <c r="A21" s="4" t="inlineStr">
        <is>
          <t>T0020</t>
        </is>
      </c>
      <c r="B21" s="4" t="inlineStr">
        <is>
          <t>C003</t>
        </is>
      </c>
      <c r="C21" s="4" t="inlineStr">
        <is>
          <t>Document Collection</t>
        </is>
      </c>
      <c r="D21" s="4" t="inlineStr">
        <is>
          <t>Customer</t>
        </is>
      </c>
      <c r="E21" s="5" t="n">
        <v>46228</v>
      </c>
      <c r="F21" s="4" t="inlineStr">
        <is>
          <t>Completed</t>
        </is>
      </c>
      <c r="G21" s="4">
        <f>IFERROR(INDEX('01_Customer_Tracker'!$B:$B,MATCH(B21,'01_Customer_Tracker'!$A:$A,0)),"")</f>
        <v/>
      </c>
    </row>
    <row r="22">
      <c r="A22" s="4" t="inlineStr">
        <is>
          <t>T0021</t>
        </is>
      </c>
      <c r="B22" s="4" t="inlineStr">
        <is>
          <t>C003</t>
        </is>
      </c>
      <c r="C22" s="4" t="inlineStr">
        <is>
          <t>Employee Data Upload</t>
        </is>
      </c>
      <c r="D22" s="4" t="inlineStr">
        <is>
          <t>Customer</t>
        </is>
      </c>
      <c r="E22" s="5" t="n">
        <v>46232</v>
      </c>
      <c r="F22" s="4" t="inlineStr">
        <is>
          <t>Completed</t>
        </is>
      </c>
      <c r="G22" s="4">
        <f>IFERROR(INDEX('01_Customer_Tracker'!$B:$B,MATCH(B22,'01_Customer_Tracker'!$A:$A,0)),"")</f>
        <v/>
      </c>
    </row>
    <row r="23">
      <c r="A23" s="4" t="inlineStr">
        <is>
          <t>T0022</t>
        </is>
      </c>
      <c r="B23" s="4" t="inlineStr">
        <is>
          <t>C003</t>
        </is>
      </c>
      <c r="C23" s="4" t="inlineStr">
        <is>
          <t>Bank Details Verification</t>
        </is>
      </c>
      <c r="D23" s="4" t="inlineStr">
        <is>
          <t>Ops</t>
        </is>
      </c>
      <c r="E23" s="5" t="n">
        <v>46236</v>
      </c>
      <c r="F23" s="4" t="inlineStr">
        <is>
          <t>Completed</t>
        </is>
      </c>
      <c r="G23" s="4">
        <f>IFERROR(INDEX('01_Customer_Tracker'!$B:$B,MATCH(B23,'01_Customer_Tracker'!$A:$A,0)),"")</f>
        <v/>
      </c>
    </row>
    <row r="24">
      <c r="A24" s="4" t="inlineStr">
        <is>
          <t>T0023</t>
        </is>
      </c>
      <c r="B24" s="4" t="inlineStr">
        <is>
          <t>C003</t>
        </is>
      </c>
      <c r="C24" s="4" t="inlineStr">
        <is>
          <t>PAN / UAN Verification</t>
        </is>
      </c>
      <c r="D24" s="4" t="inlineStr">
        <is>
          <t>Ops</t>
        </is>
      </c>
      <c r="E24" s="5" t="n">
        <v>46238</v>
      </c>
      <c r="F24" s="4" t="inlineStr">
        <is>
          <t>Completed</t>
        </is>
      </c>
      <c r="G24" s="4">
        <f>IFERROR(INDEX('01_Customer_Tracker'!$B:$B,MATCH(B24,'01_Customer_Tracker'!$A:$A,0)),"")</f>
        <v/>
      </c>
    </row>
    <row r="25">
      <c r="A25" s="4" t="inlineStr">
        <is>
          <t>T0024</t>
        </is>
      </c>
      <c r="B25" s="4" t="inlineStr">
        <is>
          <t>C003</t>
        </is>
      </c>
      <c r="C25" s="4" t="inlineStr">
        <is>
          <t>Attendance &amp; Leave Config</t>
        </is>
      </c>
      <c r="D25" s="4" t="inlineStr">
        <is>
          <t>Payroll Ops</t>
        </is>
      </c>
      <c r="E25" s="5" t="n">
        <v>46242</v>
      </c>
      <c r="F25" s="4" t="inlineStr">
        <is>
          <t>Completed</t>
        </is>
      </c>
      <c r="G25" s="4">
        <f>IFERROR(INDEX('01_Customer_Tracker'!$B:$B,MATCH(B25,'01_Customer_Tracker'!$A:$A,0)),"")</f>
        <v/>
      </c>
    </row>
    <row r="26">
      <c r="A26" s="4" t="inlineStr">
        <is>
          <t>T0025</t>
        </is>
      </c>
      <c r="B26" s="4" t="inlineStr">
        <is>
          <t>C003</t>
        </is>
      </c>
      <c r="C26" s="4" t="inlineStr">
        <is>
          <t>Salary Structure Mapping</t>
        </is>
      </c>
      <c r="D26" s="4" t="inlineStr">
        <is>
          <t>Payroll Ops</t>
        </is>
      </c>
      <c r="E26" s="5" t="n">
        <v>46245</v>
      </c>
      <c r="F26" s="4" t="inlineStr">
        <is>
          <t>Completed</t>
        </is>
      </c>
      <c r="G26" s="4">
        <f>IFERROR(INDEX('01_Customer_Tracker'!$B:$B,MATCH(B26,'01_Customer_Tracker'!$A:$A,0)),"")</f>
        <v/>
      </c>
    </row>
    <row r="27">
      <c r="A27" s="4" t="inlineStr">
        <is>
          <t>T0026</t>
        </is>
      </c>
      <c r="B27" s="4" t="inlineStr">
        <is>
          <t>C003</t>
        </is>
      </c>
      <c r="C27" s="4" t="inlineStr">
        <is>
          <t>Pre-run Reconciliation</t>
        </is>
      </c>
      <c r="D27" s="4" t="inlineStr">
        <is>
          <t>Payroll Ops</t>
        </is>
      </c>
      <c r="E27" s="5" t="n">
        <v>46250</v>
      </c>
      <c r="F27" s="4" t="inlineStr">
        <is>
          <t>Completed</t>
        </is>
      </c>
      <c r="G27" s="4">
        <f>IFERROR(INDEX('01_Customer_Tracker'!$B:$B,MATCH(B27,'01_Customer_Tracker'!$A:$A,0)),"")</f>
        <v/>
      </c>
    </row>
    <row r="28">
      <c r="A28" s="4" t="inlineStr">
        <is>
          <t>T0027</t>
        </is>
      </c>
      <c r="B28" s="4" t="inlineStr">
        <is>
          <t>C003</t>
        </is>
      </c>
      <c r="C28" s="4" t="inlineStr">
        <is>
          <t>Customer Approval Sign-off</t>
        </is>
      </c>
      <c r="D28" s="4" t="inlineStr">
        <is>
          <t>Customer</t>
        </is>
      </c>
      <c r="E28" s="5" t="n">
        <v>46254</v>
      </c>
      <c r="F28" s="4" t="inlineStr">
        <is>
          <t>Completed</t>
        </is>
      </c>
      <c r="G28" s="4">
        <f>IFERROR(INDEX('01_Customer_Tracker'!$B:$B,MATCH(B28,'01_Customer_Tracker'!$A:$A,0)),"")</f>
        <v/>
      </c>
    </row>
    <row r="29">
      <c r="A29" s="4" t="inlineStr">
        <is>
          <t>T0028</t>
        </is>
      </c>
      <c r="B29" s="4" t="inlineStr">
        <is>
          <t>C004</t>
        </is>
      </c>
      <c r="C29" s="4" t="inlineStr">
        <is>
          <t>Company Info &amp; KYC</t>
        </is>
      </c>
      <c r="D29" s="4" t="inlineStr">
        <is>
          <t>Customer</t>
        </is>
      </c>
      <c r="E29" s="5" t="n">
        <v>46270</v>
      </c>
      <c r="F29" s="4" t="inlineStr">
        <is>
          <t>Completed</t>
        </is>
      </c>
      <c r="G29" s="4">
        <f>IFERROR(INDEX('01_Customer_Tracker'!$B:$B,MATCH(B29,'01_Customer_Tracker'!$A:$A,0)),"")</f>
        <v/>
      </c>
    </row>
    <row r="30">
      <c r="A30" s="4" t="inlineStr">
        <is>
          <t>T0029</t>
        </is>
      </c>
      <c r="B30" s="4" t="inlineStr">
        <is>
          <t>C004</t>
        </is>
      </c>
      <c r="C30" s="4" t="inlineStr">
        <is>
          <t>Document Collection</t>
        </is>
      </c>
      <c r="D30" s="4" t="inlineStr">
        <is>
          <t>Customer</t>
        </is>
      </c>
      <c r="E30" s="5" t="n">
        <v>46273</v>
      </c>
      <c r="F30" s="4" t="inlineStr">
        <is>
          <t>In Progress</t>
        </is>
      </c>
      <c r="G30" s="4">
        <f>IFERROR(INDEX('01_Customer_Tracker'!$B:$B,MATCH(B30,'01_Customer_Tracker'!$A:$A,0)),"")</f>
        <v/>
      </c>
    </row>
    <row r="31">
      <c r="A31" s="4" t="inlineStr">
        <is>
          <t>T0030</t>
        </is>
      </c>
      <c r="B31" s="4" t="inlineStr">
        <is>
          <t>C004</t>
        </is>
      </c>
      <c r="C31" s="4" t="inlineStr">
        <is>
          <t>Employee Data Upload</t>
        </is>
      </c>
      <c r="D31" s="4" t="inlineStr">
        <is>
          <t>Customer</t>
        </is>
      </c>
      <c r="E31" s="5" t="n">
        <v>46277</v>
      </c>
      <c r="F31" s="4" t="inlineStr">
        <is>
          <t>Pending</t>
        </is>
      </c>
      <c r="G31" s="4">
        <f>IFERROR(INDEX('01_Customer_Tracker'!$B:$B,MATCH(B31,'01_Customer_Tracker'!$A:$A,0)),"")</f>
        <v/>
      </c>
    </row>
    <row r="32">
      <c r="A32" s="4" t="inlineStr">
        <is>
          <t>T0031</t>
        </is>
      </c>
      <c r="B32" s="4" t="inlineStr">
        <is>
          <t>C004</t>
        </is>
      </c>
      <c r="C32" s="4" t="inlineStr">
        <is>
          <t>Bank Details Verification</t>
        </is>
      </c>
      <c r="D32" s="4" t="inlineStr">
        <is>
          <t>Ops</t>
        </is>
      </c>
      <c r="E32" s="5" t="n">
        <v>46281</v>
      </c>
      <c r="F32" s="4" t="inlineStr">
        <is>
          <t>Pending</t>
        </is>
      </c>
      <c r="G32" s="4">
        <f>IFERROR(INDEX('01_Customer_Tracker'!$B:$B,MATCH(B32,'01_Customer_Tracker'!$A:$A,0)),"")</f>
        <v/>
      </c>
    </row>
    <row r="33">
      <c r="A33" s="4" t="inlineStr">
        <is>
          <t>T0032</t>
        </is>
      </c>
      <c r="B33" s="4" t="inlineStr">
        <is>
          <t>C004</t>
        </is>
      </c>
      <c r="C33" s="4" t="inlineStr">
        <is>
          <t>PAN / UAN Verification</t>
        </is>
      </c>
      <c r="D33" s="4" t="inlineStr">
        <is>
          <t>Ops</t>
        </is>
      </c>
      <c r="E33" s="5" t="n">
        <v>46283</v>
      </c>
      <c r="F33" s="4" t="inlineStr">
        <is>
          <t>Pending</t>
        </is>
      </c>
      <c r="G33" s="4">
        <f>IFERROR(INDEX('01_Customer_Tracker'!$B:$B,MATCH(B33,'01_Customer_Tracker'!$A:$A,0)),"")</f>
        <v/>
      </c>
    </row>
    <row r="34">
      <c r="A34" s="4" t="inlineStr">
        <is>
          <t>T0033</t>
        </is>
      </c>
      <c r="B34" s="4" t="inlineStr">
        <is>
          <t>C004</t>
        </is>
      </c>
      <c r="C34" s="4" t="inlineStr">
        <is>
          <t>Attendance &amp; Leave Config</t>
        </is>
      </c>
      <c r="D34" s="4" t="inlineStr">
        <is>
          <t>Payroll Ops</t>
        </is>
      </c>
      <c r="E34" s="5" t="n">
        <v>46287</v>
      </c>
      <c r="F34" s="4" t="inlineStr">
        <is>
          <t>Pending</t>
        </is>
      </c>
      <c r="G34" s="4">
        <f>IFERROR(INDEX('01_Customer_Tracker'!$B:$B,MATCH(B34,'01_Customer_Tracker'!$A:$A,0)),"")</f>
        <v/>
      </c>
    </row>
    <row r="35">
      <c r="A35" s="4" t="inlineStr">
        <is>
          <t>T0034</t>
        </is>
      </c>
      <c r="B35" s="4" t="inlineStr">
        <is>
          <t>C004</t>
        </is>
      </c>
      <c r="C35" s="4" t="inlineStr">
        <is>
          <t>Salary Structure Mapping</t>
        </is>
      </c>
      <c r="D35" s="4" t="inlineStr">
        <is>
          <t>Payroll Ops</t>
        </is>
      </c>
      <c r="E35" s="5" t="n">
        <v>46290</v>
      </c>
      <c r="F35" s="4" t="inlineStr">
        <is>
          <t>Pending</t>
        </is>
      </c>
      <c r="G35" s="4">
        <f>IFERROR(INDEX('01_Customer_Tracker'!$B:$B,MATCH(B35,'01_Customer_Tracker'!$A:$A,0)),"")</f>
        <v/>
      </c>
    </row>
    <row r="36">
      <c r="A36" s="4" t="inlineStr">
        <is>
          <t>T0035</t>
        </is>
      </c>
      <c r="B36" s="4" t="inlineStr">
        <is>
          <t>C004</t>
        </is>
      </c>
      <c r="C36" s="4" t="inlineStr">
        <is>
          <t>Pre-run Reconciliation</t>
        </is>
      </c>
      <c r="D36" s="4" t="inlineStr">
        <is>
          <t>Payroll Ops</t>
        </is>
      </c>
      <c r="E36" s="5" t="n">
        <v>46295</v>
      </c>
      <c r="F36" s="4" t="inlineStr">
        <is>
          <t>Pending</t>
        </is>
      </c>
      <c r="G36" s="4">
        <f>IFERROR(INDEX('01_Customer_Tracker'!$B:$B,MATCH(B36,'01_Customer_Tracker'!$A:$A,0)),"")</f>
        <v/>
      </c>
    </row>
    <row r="37">
      <c r="A37" s="4" t="inlineStr">
        <is>
          <t>T0036</t>
        </is>
      </c>
      <c r="B37" s="4" t="inlineStr">
        <is>
          <t>C004</t>
        </is>
      </c>
      <c r="C37" s="4" t="inlineStr">
        <is>
          <t>Customer Approval Sign-off</t>
        </is>
      </c>
      <c r="D37" s="4" t="inlineStr">
        <is>
          <t>Customer</t>
        </is>
      </c>
      <c r="E37" s="5" t="n">
        <v>46299</v>
      </c>
      <c r="F37" s="4" t="inlineStr">
        <is>
          <t>Pending</t>
        </is>
      </c>
      <c r="G37" s="4">
        <f>IFERROR(INDEX('01_Customer_Tracker'!$B:$B,MATCH(B37,'01_Customer_Tracker'!$A:$A,0)),"")</f>
        <v/>
      </c>
    </row>
    <row r="38">
      <c r="A38" s="4" t="inlineStr">
        <is>
          <t>T0037</t>
        </is>
      </c>
      <c r="B38" s="4" t="inlineStr">
        <is>
          <t>C005</t>
        </is>
      </c>
      <c r="C38" s="4" t="inlineStr">
        <is>
          <t>Company Info &amp; KYC</t>
        </is>
      </c>
      <c r="D38" s="4" t="inlineStr">
        <is>
          <t>Customer</t>
        </is>
      </c>
      <c r="E38" s="5" t="n">
        <v>46230</v>
      </c>
      <c r="F38" s="4" t="inlineStr">
        <is>
          <t>Completed</t>
        </is>
      </c>
      <c r="G38" s="4">
        <f>IFERROR(INDEX('01_Customer_Tracker'!$B:$B,MATCH(B38,'01_Customer_Tracker'!$A:$A,0)),"")</f>
        <v/>
      </c>
    </row>
    <row r="39">
      <c r="A39" s="4" t="inlineStr">
        <is>
          <t>T0038</t>
        </is>
      </c>
      <c r="B39" s="4" t="inlineStr">
        <is>
          <t>C005</t>
        </is>
      </c>
      <c r="C39" s="4" t="inlineStr">
        <is>
          <t>Document Collection</t>
        </is>
      </c>
      <c r="D39" s="4" t="inlineStr">
        <is>
          <t>Customer</t>
        </is>
      </c>
      <c r="E39" s="5" t="n">
        <v>46233</v>
      </c>
      <c r="F39" s="4" t="inlineStr">
        <is>
          <t>Completed</t>
        </is>
      </c>
      <c r="G39" s="4">
        <f>IFERROR(INDEX('01_Customer_Tracker'!$B:$B,MATCH(B39,'01_Customer_Tracker'!$A:$A,0)),"")</f>
        <v/>
      </c>
    </row>
    <row r="40">
      <c r="A40" s="4" t="inlineStr">
        <is>
          <t>T0039</t>
        </is>
      </c>
      <c r="B40" s="4" t="inlineStr">
        <is>
          <t>C005</t>
        </is>
      </c>
      <c r="C40" s="4" t="inlineStr">
        <is>
          <t>Employee Data Upload</t>
        </is>
      </c>
      <c r="D40" s="4" t="inlineStr">
        <is>
          <t>Customer</t>
        </is>
      </c>
      <c r="E40" s="5" t="n">
        <v>46237</v>
      </c>
      <c r="F40" s="4" t="inlineStr">
        <is>
          <t>Completed</t>
        </is>
      </c>
      <c r="G40" s="4">
        <f>IFERROR(INDEX('01_Customer_Tracker'!$B:$B,MATCH(B40,'01_Customer_Tracker'!$A:$A,0)),"")</f>
        <v/>
      </c>
    </row>
    <row r="41">
      <c r="A41" s="4" t="inlineStr">
        <is>
          <t>T0040</t>
        </is>
      </c>
      <c r="B41" s="4" t="inlineStr">
        <is>
          <t>C005</t>
        </is>
      </c>
      <c r="C41" s="4" t="inlineStr">
        <is>
          <t>Bank Details Verification</t>
        </is>
      </c>
      <c r="D41" s="4" t="inlineStr">
        <is>
          <t>Ops</t>
        </is>
      </c>
      <c r="E41" s="5" t="n">
        <v>46241</v>
      </c>
      <c r="F41" s="4" t="inlineStr">
        <is>
          <t>Completed</t>
        </is>
      </c>
      <c r="G41" s="4">
        <f>IFERROR(INDEX('01_Customer_Tracker'!$B:$B,MATCH(B41,'01_Customer_Tracker'!$A:$A,0)),"")</f>
        <v/>
      </c>
    </row>
    <row r="42">
      <c r="A42" s="4" t="inlineStr">
        <is>
          <t>T0041</t>
        </is>
      </c>
      <c r="B42" s="4" t="inlineStr">
        <is>
          <t>C005</t>
        </is>
      </c>
      <c r="C42" s="4" t="inlineStr">
        <is>
          <t>PAN / UAN Verification</t>
        </is>
      </c>
      <c r="D42" s="4" t="inlineStr">
        <is>
          <t>Ops</t>
        </is>
      </c>
      <c r="E42" s="5" t="n">
        <v>46243</v>
      </c>
      <c r="F42" s="4" t="inlineStr">
        <is>
          <t>Completed</t>
        </is>
      </c>
      <c r="G42" s="4">
        <f>IFERROR(INDEX('01_Customer_Tracker'!$B:$B,MATCH(B42,'01_Customer_Tracker'!$A:$A,0)),"")</f>
        <v/>
      </c>
    </row>
    <row r="43">
      <c r="A43" s="4" t="inlineStr">
        <is>
          <t>T0042</t>
        </is>
      </c>
      <c r="B43" s="4" t="inlineStr">
        <is>
          <t>C005</t>
        </is>
      </c>
      <c r="C43" s="4" t="inlineStr">
        <is>
          <t>Attendance &amp; Leave Config</t>
        </is>
      </c>
      <c r="D43" s="4" t="inlineStr">
        <is>
          <t>Payroll Ops</t>
        </is>
      </c>
      <c r="E43" s="5" t="n">
        <v>46247</v>
      </c>
      <c r="F43" s="4" t="inlineStr">
        <is>
          <t>Completed</t>
        </is>
      </c>
      <c r="G43" s="4">
        <f>IFERROR(INDEX('01_Customer_Tracker'!$B:$B,MATCH(B43,'01_Customer_Tracker'!$A:$A,0)),"")</f>
        <v/>
      </c>
    </row>
    <row r="44">
      <c r="A44" s="4" t="inlineStr">
        <is>
          <t>T0043</t>
        </is>
      </c>
      <c r="B44" s="4" t="inlineStr">
        <is>
          <t>C005</t>
        </is>
      </c>
      <c r="C44" s="4" t="inlineStr">
        <is>
          <t>Salary Structure Mapping</t>
        </is>
      </c>
      <c r="D44" s="4" t="inlineStr">
        <is>
          <t>Payroll Ops</t>
        </is>
      </c>
      <c r="E44" s="5" t="n">
        <v>46250</v>
      </c>
      <c r="F44" s="4" t="inlineStr">
        <is>
          <t>Completed</t>
        </is>
      </c>
      <c r="G44" s="4">
        <f>IFERROR(INDEX('01_Customer_Tracker'!$B:$B,MATCH(B44,'01_Customer_Tracker'!$A:$A,0)),"")</f>
        <v/>
      </c>
    </row>
    <row r="45">
      <c r="A45" s="4" t="inlineStr">
        <is>
          <t>T0044</t>
        </is>
      </c>
      <c r="B45" s="4" t="inlineStr">
        <is>
          <t>C005</t>
        </is>
      </c>
      <c r="C45" s="4" t="inlineStr">
        <is>
          <t>Pre-run Reconciliation</t>
        </is>
      </c>
      <c r="D45" s="4" t="inlineStr">
        <is>
          <t>Payroll Ops</t>
        </is>
      </c>
      <c r="E45" s="5" t="n">
        <v>46255</v>
      </c>
      <c r="F45" s="4" t="inlineStr">
        <is>
          <t>Completed</t>
        </is>
      </c>
      <c r="G45" s="4">
        <f>IFERROR(INDEX('01_Customer_Tracker'!$B:$B,MATCH(B45,'01_Customer_Tracker'!$A:$A,0)),"")</f>
        <v/>
      </c>
    </row>
    <row r="46">
      <c r="A46" s="4" t="inlineStr">
        <is>
          <t>T0045</t>
        </is>
      </c>
      <c r="B46" s="4" t="inlineStr">
        <is>
          <t>C005</t>
        </is>
      </c>
      <c r="C46" s="4" t="inlineStr">
        <is>
          <t>Customer Approval Sign-off</t>
        </is>
      </c>
      <c r="D46" s="4" t="inlineStr">
        <is>
          <t>Customer</t>
        </is>
      </c>
      <c r="E46" s="5" t="n">
        <v>46259</v>
      </c>
      <c r="F46" s="4" t="inlineStr">
        <is>
          <t>Completed</t>
        </is>
      </c>
      <c r="G46" s="4">
        <f>IFERROR(INDEX('01_Customer_Tracker'!$B:$B,MATCH(B46,'01_Customer_Tracker'!$A:$A,0)),"")</f>
        <v/>
      </c>
    </row>
    <row r="47">
      <c r="A47" s="4" t="inlineStr">
        <is>
          <t>T0046</t>
        </is>
      </c>
      <c r="B47" s="4" t="inlineStr">
        <is>
          <t>C006</t>
        </is>
      </c>
      <c r="C47" s="4" t="inlineStr">
        <is>
          <t>Company Info &amp; KYC</t>
        </is>
      </c>
      <c r="D47" s="4" t="inlineStr">
        <is>
          <t>Customer</t>
        </is>
      </c>
      <c r="E47" s="5" t="n">
        <v>46226</v>
      </c>
      <c r="F47" s="4" t="inlineStr">
        <is>
          <t>Completed</t>
        </is>
      </c>
      <c r="G47" s="4">
        <f>IFERROR(INDEX('01_Customer_Tracker'!$B:$B,MATCH(B47,'01_Customer_Tracker'!$A:$A,0)),"")</f>
        <v/>
      </c>
    </row>
    <row r="48">
      <c r="A48" s="4" t="inlineStr">
        <is>
          <t>T0047</t>
        </is>
      </c>
      <c r="B48" s="4" t="inlineStr">
        <is>
          <t>C006</t>
        </is>
      </c>
      <c r="C48" s="4" t="inlineStr">
        <is>
          <t>Document Collection</t>
        </is>
      </c>
      <c r="D48" s="4" t="inlineStr">
        <is>
          <t>Customer</t>
        </is>
      </c>
      <c r="E48" s="5" t="n">
        <v>46229</v>
      </c>
      <c r="F48" s="4" t="inlineStr">
        <is>
          <t>Completed</t>
        </is>
      </c>
      <c r="G48" s="4">
        <f>IFERROR(INDEX('01_Customer_Tracker'!$B:$B,MATCH(B48,'01_Customer_Tracker'!$A:$A,0)),"")</f>
        <v/>
      </c>
    </row>
    <row r="49">
      <c r="A49" s="4" t="inlineStr">
        <is>
          <t>T0048</t>
        </is>
      </c>
      <c r="B49" s="4" t="inlineStr">
        <is>
          <t>C006</t>
        </is>
      </c>
      <c r="C49" s="4" t="inlineStr">
        <is>
          <t>Employee Data Upload</t>
        </is>
      </c>
      <c r="D49" s="4" t="inlineStr">
        <is>
          <t>Customer</t>
        </is>
      </c>
      <c r="E49" s="5" t="n">
        <v>46233</v>
      </c>
      <c r="F49" s="4" t="inlineStr">
        <is>
          <t>Completed</t>
        </is>
      </c>
      <c r="G49" s="4">
        <f>IFERROR(INDEX('01_Customer_Tracker'!$B:$B,MATCH(B49,'01_Customer_Tracker'!$A:$A,0)),"")</f>
        <v/>
      </c>
    </row>
    <row r="50">
      <c r="A50" s="4" t="inlineStr">
        <is>
          <t>T0049</t>
        </is>
      </c>
      <c r="B50" s="4" t="inlineStr">
        <is>
          <t>C006</t>
        </is>
      </c>
      <c r="C50" s="4" t="inlineStr">
        <is>
          <t>Bank Details Verification</t>
        </is>
      </c>
      <c r="D50" s="4" t="inlineStr">
        <is>
          <t>Ops</t>
        </is>
      </c>
      <c r="E50" s="5" t="n">
        <v>46237</v>
      </c>
      <c r="F50" s="4" t="inlineStr">
        <is>
          <t>Completed</t>
        </is>
      </c>
      <c r="G50" s="4">
        <f>IFERROR(INDEX('01_Customer_Tracker'!$B:$B,MATCH(B50,'01_Customer_Tracker'!$A:$A,0)),"")</f>
        <v/>
      </c>
    </row>
    <row r="51">
      <c r="A51" s="4" t="inlineStr">
        <is>
          <t>T0050</t>
        </is>
      </c>
      <c r="B51" s="4" t="inlineStr">
        <is>
          <t>C006</t>
        </is>
      </c>
      <c r="C51" s="4" t="inlineStr">
        <is>
          <t>PAN / UAN Verification</t>
        </is>
      </c>
      <c r="D51" s="4" t="inlineStr">
        <is>
          <t>Ops</t>
        </is>
      </c>
      <c r="E51" s="5" t="n">
        <v>46239</v>
      </c>
      <c r="F51" s="4" t="inlineStr">
        <is>
          <t>Completed</t>
        </is>
      </c>
      <c r="G51" s="4">
        <f>IFERROR(INDEX('01_Customer_Tracker'!$B:$B,MATCH(B51,'01_Customer_Tracker'!$A:$A,0)),"")</f>
        <v/>
      </c>
    </row>
    <row r="52">
      <c r="A52" s="4" t="inlineStr">
        <is>
          <t>T0051</t>
        </is>
      </c>
      <c r="B52" s="4" t="inlineStr">
        <is>
          <t>C006</t>
        </is>
      </c>
      <c r="C52" s="4" t="inlineStr">
        <is>
          <t>Attendance &amp; Leave Config</t>
        </is>
      </c>
      <c r="D52" s="4" t="inlineStr">
        <is>
          <t>Payroll Ops</t>
        </is>
      </c>
      <c r="E52" s="5" t="n">
        <v>46243</v>
      </c>
      <c r="F52" s="4" t="inlineStr">
        <is>
          <t>In Progress</t>
        </is>
      </c>
      <c r="G52" s="4">
        <f>IFERROR(INDEX('01_Customer_Tracker'!$B:$B,MATCH(B52,'01_Customer_Tracker'!$A:$A,0)),"")</f>
        <v/>
      </c>
    </row>
    <row r="53">
      <c r="A53" s="4" t="inlineStr">
        <is>
          <t>T0052</t>
        </is>
      </c>
      <c r="B53" s="4" t="inlineStr">
        <is>
          <t>C006</t>
        </is>
      </c>
      <c r="C53" s="4" t="inlineStr">
        <is>
          <t>Salary Structure Mapping</t>
        </is>
      </c>
      <c r="D53" s="4" t="inlineStr">
        <is>
          <t>Payroll Ops</t>
        </is>
      </c>
      <c r="E53" s="5" t="n">
        <v>46246</v>
      </c>
      <c r="F53" s="4" t="inlineStr">
        <is>
          <t>Pending</t>
        </is>
      </c>
      <c r="G53" s="4">
        <f>IFERROR(INDEX('01_Customer_Tracker'!$B:$B,MATCH(B53,'01_Customer_Tracker'!$A:$A,0)),"")</f>
        <v/>
      </c>
    </row>
    <row r="54">
      <c r="A54" s="4" t="inlineStr">
        <is>
          <t>T0053</t>
        </is>
      </c>
      <c r="B54" s="4" t="inlineStr">
        <is>
          <t>C006</t>
        </is>
      </c>
      <c r="C54" s="4" t="inlineStr">
        <is>
          <t>Pre-run Reconciliation</t>
        </is>
      </c>
      <c r="D54" s="4" t="inlineStr">
        <is>
          <t>Payroll Ops</t>
        </is>
      </c>
      <c r="E54" s="5" t="n">
        <v>46251</v>
      </c>
      <c r="F54" s="4" t="inlineStr">
        <is>
          <t>Pending</t>
        </is>
      </c>
      <c r="G54" s="4">
        <f>IFERROR(INDEX('01_Customer_Tracker'!$B:$B,MATCH(B54,'01_Customer_Tracker'!$A:$A,0)),"")</f>
        <v/>
      </c>
    </row>
    <row r="55">
      <c r="A55" s="4" t="inlineStr">
        <is>
          <t>T0054</t>
        </is>
      </c>
      <c r="B55" s="4" t="inlineStr">
        <is>
          <t>C006</t>
        </is>
      </c>
      <c r="C55" s="4" t="inlineStr">
        <is>
          <t>Customer Approval Sign-off</t>
        </is>
      </c>
      <c r="D55" s="4" t="inlineStr">
        <is>
          <t>Customer</t>
        </is>
      </c>
      <c r="E55" s="5" t="n">
        <v>46255</v>
      </c>
      <c r="F55" s="4" t="inlineStr">
        <is>
          <t>Pending</t>
        </is>
      </c>
      <c r="G55" s="4">
        <f>IFERROR(INDEX('01_Customer_Tracker'!$B:$B,MATCH(B55,'01_Customer_Tracker'!$A:$A,0)),"")</f>
        <v/>
      </c>
    </row>
    <row r="56">
      <c r="A56" s="4" t="inlineStr">
        <is>
          <t>T0055</t>
        </is>
      </c>
      <c r="B56" s="4" t="inlineStr">
        <is>
          <t>C007</t>
        </is>
      </c>
      <c r="C56" s="4" t="inlineStr">
        <is>
          <t>Company Info &amp; KYC</t>
        </is>
      </c>
      <c r="D56" s="4" t="inlineStr">
        <is>
          <t>Customer</t>
        </is>
      </c>
      <c r="E56" s="5" t="n">
        <v>46216</v>
      </c>
      <c r="F56" s="4" t="inlineStr">
        <is>
          <t>Completed</t>
        </is>
      </c>
      <c r="G56" s="4">
        <f>IFERROR(INDEX('01_Customer_Tracker'!$B:$B,MATCH(B56,'01_Customer_Tracker'!$A:$A,0)),"")</f>
        <v/>
      </c>
    </row>
    <row r="57">
      <c r="A57" s="4" t="inlineStr">
        <is>
          <t>T0056</t>
        </is>
      </c>
      <c r="B57" s="4" t="inlineStr">
        <is>
          <t>C007</t>
        </is>
      </c>
      <c r="C57" s="4" t="inlineStr">
        <is>
          <t>Document Collection</t>
        </is>
      </c>
      <c r="D57" s="4" t="inlineStr">
        <is>
          <t>Customer</t>
        </is>
      </c>
      <c r="E57" s="5" t="n">
        <v>46219</v>
      </c>
      <c r="F57" s="4" t="inlineStr">
        <is>
          <t>Completed</t>
        </is>
      </c>
      <c r="G57" s="4">
        <f>IFERROR(INDEX('01_Customer_Tracker'!$B:$B,MATCH(B57,'01_Customer_Tracker'!$A:$A,0)),"")</f>
        <v/>
      </c>
    </row>
    <row r="58">
      <c r="A58" s="4" t="inlineStr">
        <is>
          <t>T0057</t>
        </is>
      </c>
      <c r="B58" s="4" t="inlineStr">
        <is>
          <t>C007</t>
        </is>
      </c>
      <c r="C58" s="4" t="inlineStr">
        <is>
          <t>Employee Data Upload</t>
        </is>
      </c>
      <c r="D58" s="4" t="inlineStr">
        <is>
          <t>Customer</t>
        </is>
      </c>
      <c r="E58" s="5" t="n">
        <v>46223</v>
      </c>
      <c r="F58" s="4" t="inlineStr">
        <is>
          <t>Completed</t>
        </is>
      </c>
      <c r="G58" s="4">
        <f>IFERROR(INDEX('01_Customer_Tracker'!$B:$B,MATCH(B58,'01_Customer_Tracker'!$A:$A,0)),"")</f>
        <v/>
      </c>
    </row>
    <row r="59">
      <c r="A59" s="4" t="inlineStr">
        <is>
          <t>T0058</t>
        </is>
      </c>
      <c r="B59" s="4" t="inlineStr">
        <is>
          <t>C007</t>
        </is>
      </c>
      <c r="C59" s="4" t="inlineStr">
        <is>
          <t>Bank Details Verification</t>
        </is>
      </c>
      <c r="D59" s="4" t="inlineStr">
        <is>
          <t>Ops</t>
        </is>
      </c>
      <c r="E59" s="5" t="n">
        <v>46227</v>
      </c>
      <c r="F59" s="4" t="inlineStr">
        <is>
          <t>Completed</t>
        </is>
      </c>
      <c r="G59" s="4">
        <f>IFERROR(INDEX('01_Customer_Tracker'!$B:$B,MATCH(B59,'01_Customer_Tracker'!$A:$A,0)),"")</f>
        <v/>
      </c>
    </row>
    <row r="60">
      <c r="A60" s="4" t="inlineStr">
        <is>
          <t>T0059</t>
        </is>
      </c>
      <c r="B60" s="4" t="inlineStr">
        <is>
          <t>C007</t>
        </is>
      </c>
      <c r="C60" s="4" t="inlineStr">
        <is>
          <t>PAN / UAN Verification</t>
        </is>
      </c>
      <c r="D60" s="4" t="inlineStr">
        <is>
          <t>Ops</t>
        </is>
      </c>
      <c r="E60" s="5" t="n">
        <v>46229</v>
      </c>
      <c r="F60" s="4" t="inlineStr">
        <is>
          <t>Completed</t>
        </is>
      </c>
      <c r="G60" s="4">
        <f>IFERROR(INDEX('01_Customer_Tracker'!$B:$B,MATCH(B60,'01_Customer_Tracker'!$A:$A,0)),"")</f>
        <v/>
      </c>
    </row>
    <row r="61">
      <c r="A61" s="4" t="inlineStr">
        <is>
          <t>T0060</t>
        </is>
      </c>
      <c r="B61" s="4" t="inlineStr">
        <is>
          <t>C007</t>
        </is>
      </c>
      <c r="C61" s="4" t="inlineStr">
        <is>
          <t>Attendance &amp; Leave Config</t>
        </is>
      </c>
      <c r="D61" s="4" t="inlineStr">
        <is>
          <t>Payroll Ops</t>
        </is>
      </c>
      <c r="E61" s="5" t="n">
        <v>46233</v>
      </c>
      <c r="F61" s="4" t="inlineStr">
        <is>
          <t>Completed</t>
        </is>
      </c>
      <c r="G61" s="4">
        <f>IFERROR(INDEX('01_Customer_Tracker'!$B:$B,MATCH(B61,'01_Customer_Tracker'!$A:$A,0)),"")</f>
        <v/>
      </c>
    </row>
    <row r="62">
      <c r="A62" s="4" t="inlineStr">
        <is>
          <t>T0061</t>
        </is>
      </c>
      <c r="B62" s="4" t="inlineStr">
        <is>
          <t>C007</t>
        </is>
      </c>
      <c r="C62" s="4" t="inlineStr">
        <is>
          <t>Salary Structure Mapping</t>
        </is>
      </c>
      <c r="D62" s="4" t="inlineStr">
        <is>
          <t>Payroll Ops</t>
        </is>
      </c>
      <c r="E62" s="5" t="n">
        <v>46236</v>
      </c>
      <c r="F62" s="4" t="inlineStr">
        <is>
          <t>Completed</t>
        </is>
      </c>
      <c r="G62" s="4">
        <f>IFERROR(INDEX('01_Customer_Tracker'!$B:$B,MATCH(B62,'01_Customer_Tracker'!$A:$A,0)),"")</f>
        <v/>
      </c>
    </row>
    <row r="63">
      <c r="A63" s="4" t="inlineStr">
        <is>
          <t>T0062</t>
        </is>
      </c>
      <c r="B63" s="4" t="inlineStr">
        <is>
          <t>C007</t>
        </is>
      </c>
      <c r="C63" s="4" t="inlineStr">
        <is>
          <t>Pre-run Reconciliation</t>
        </is>
      </c>
      <c r="D63" s="4" t="inlineStr">
        <is>
          <t>Payroll Ops</t>
        </is>
      </c>
      <c r="E63" s="5" t="n">
        <v>46241</v>
      </c>
      <c r="F63" s="4" t="inlineStr">
        <is>
          <t>Completed</t>
        </is>
      </c>
      <c r="G63" s="4">
        <f>IFERROR(INDEX('01_Customer_Tracker'!$B:$B,MATCH(B63,'01_Customer_Tracker'!$A:$A,0)),"")</f>
        <v/>
      </c>
    </row>
    <row r="64">
      <c r="A64" s="4" t="inlineStr">
        <is>
          <t>T0063</t>
        </is>
      </c>
      <c r="B64" s="4" t="inlineStr">
        <is>
          <t>C007</t>
        </is>
      </c>
      <c r="C64" s="4" t="inlineStr">
        <is>
          <t>Customer Approval Sign-off</t>
        </is>
      </c>
      <c r="D64" s="4" t="inlineStr">
        <is>
          <t>Customer</t>
        </is>
      </c>
      <c r="E64" s="5" t="n">
        <v>46245</v>
      </c>
      <c r="F64" s="4" t="inlineStr">
        <is>
          <t>Completed</t>
        </is>
      </c>
      <c r="G64" s="4">
        <f>IFERROR(INDEX('01_Customer_Tracker'!$B:$B,MATCH(B64,'01_Customer_Tracker'!$A:$A,0)),"")</f>
        <v/>
      </c>
    </row>
    <row r="65">
      <c r="A65" s="4" t="inlineStr">
        <is>
          <t>T0064</t>
        </is>
      </c>
      <c r="B65" s="4" t="inlineStr">
        <is>
          <t>C008</t>
        </is>
      </c>
      <c r="C65" s="4" t="inlineStr">
        <is>
          <t>Company Info &amp; KYC</t>
        </is>
      </c>
      <c r="D65" s="4" t="inlineStr">
        <is>
          <t>Customer</t>
        </is>
      </c>
      <c r="E65" s="5" t="n">
        <v>46271</v>
      </c>
      <c r="F65" s="4" t="inlineStr">
        <is>
          <t>Completed</t>
        </is>
      </c>
      <c r="G65" s="4">
        <f>IFERROR(INDEX('01_Customer_Tracker'!$B:$B,MATCH(B65,'01_Customer_Tracker'!$A:$A,0)),"")</f>
        <v/>
      </c>
    </row>
    <row r="66">
      <c r="A66" s="4" t="inlineStr">
        <is>
          <t>T0065</t>
        </is>
      </c>
      <c r="B66" s="4" t="inlineStr">
        <is>
          <t>C008</t>
        </is>
      </c>
      <c r="C66" s="4" t="inlineStr">
        <is>
          <t>Document Collection</t>
        </is>
      </c>
      <c r="D66" s="4" t="inlineStr">
        <is>
          <t>Customer</t>
        </is>
      </c>
      <c r="E66" s="5" t="n">
        <v>46274</v>
      </c>
      <c r="F66" s="4" t="inlineStr">
        <is>
          <t>Completed</t>
        </is>
      </c>
      <c r="G66" s="4">
        <f>IFERROR(INDEX('01_Customer_Tracker'!$B:$B,MATCH(B66,'01_Customer_Tracker'!$A:$A,0)),"")</f>
        <v/>
      </c>
    </row>
    <row r="67">
      <c r="A67" s="4" t="inlineStr">
        <is>
          <t>T0066</t>
        </is>
      </c>
      <c r="B67" s="4" t="inlineStr">
        <is>
          <t>C008</t>
        </is>
      </c>
      <c r="C67" s="4" t="inlineStr">
        <is>
          <t>Employee Data Upload</t>
        </is>
      </c>
      <c r="D67" s="4" t="inlineStr">
        <is>
          <t>Customer</t>
        </is>
      </c>
      <c r="E67" s="5" t="n">
        <v>46278</v>
      </c>
      <c r="F67" s="4" t="inlineStr">
        <is>
          <t>Pending</t>
        </is>
      </c>
      <c r="G67" s="4">
        <f>IFERROR(INDEX('01_Customer_Tracker'!$B:$B,MATCH(B67,'01_Customer_Tracker'!$A:$A,0)),"")</f>
        <v/>
      </c>
    </row>
    <row r="68">
      <c r="A68" s="4" t="inlineStr">
        <is>
          <t>T0067</t>
        </is>
      </c>
      <c r="B68" s="4" t="inlineStr">
        <is>
          <t>C008</t>
        </is>
      </c>
      <c r="C68" s="4" t="inlineStr">
        <is>
          <t>Bank Details Verification</t>
        </is>
      </c>
      <c r="D68" s="4" t="inlineStr">
        <is>
          <t>Ops</t>
        </is>
      </c>
      <c r="E68" s="5" t="n">
        <v>46282</v>
      </c>
      <c r="F68" s="4" t="inlineStr">
        <is>
          <t>Pending</t>
        </is>
      </c>
      <c r="G68" s="4">
        <f>IFERROR(INDEX('01_Customer_Tracker'!$B:$B,MATCH(B68,'01_Customer_Tracker'!$A:$A,0)),"")</f>
        <v/>
      </c>
    </row>
    <row r="69">
      <c r="A69" s="4" t="inlineStr">
        <is>
          <t>T0068</t>
        </is>
      </c>
      <c r="B69" s="4" t="inlineStr">
        <is>
          <t>C008</t>
        </is>
      </c>
      <c r="C69" s="4" t="inlineStr">
        <is>
          <t>PAN / UAN Verification</t>
        </is>
      </c>
      <c r="D69" s="4" t="inlineStr">
        <is>
          <t>Ops</t>
        </is>
      </c>
      <c r="E69" s="5" t="n">
        <v>46284</v>
      </c>
      <c r="F69" s="4" t="inlineStr">
        <is>
          <t>Pending</t>
        </is>
      </c>
      <c r="G69" s="4">
        <f>IFERROR(INDEX('01_Customer_Tracker'!$B:$B,MATCH(B69,'01_Customer_Tracker'!$A:$A,0)),"")</f>
        <v/>
      </c>
    </row>
    <row r="70">
      <c r="A70" s="4" t="inlineStr">
        <is>
          <t>T0069</t>
        </is>
      </c>
      <c r="B70" s="4" t="inlineStr">
        <is>
          <t>C008</t>
        </is>
      </c>
      <c r="C70" s="4" t="inlineStr">
        <is>
          <t>Attendance &amp; Leave Config</t>
        </is>
      </c>
      <c r="D70" s="4" t="inlineStr">
        <is>
          <t>Payroll Ops</t>
        </is>
      </c>
      <c r="E70" s="5" t="n">
        <v>46288</v>
      </c>
      <c r="F70" s="4" t="inlineStr">
        <is>
          <t>Pending</t>
        </is>
      </c>
      <c r="G70" s="4">
        <f>IFERROR(INDEX('01_Customer_Tracker'!$B:$B,MATCH(B70,'01_Customer_Tracker'!$A:$A,0)),"")</f>
        <v/>
      </c>
    </row>
    <row r="71">
      <c r="A71" s="4" t="inlineStr">
        <is>
          <t>T0070</t>
        </is>
      </c>
      <c r="B71" s="4" t="inlineStr">
        <is>
          <t>C008</t>
        </is>
      </c>
      <c r="C71" s="4" t="inlineStr">
        <is>
          <t>Salary Structure Mapping</t>
        </is>
      </c>
      <c r="D71" s="4" t="inlineStr">
        <is>
          <t>Payroll Ops</t>
        </is>
      </c>
      <c r="E71" s="5" t="n">
        <v>46291</v>
      </c>
      <c r="F71" s="4" t="inlineStr">
        <is>
          <t>Pending</t>
        </is>
      </c>
      <c r="G71" s="4">
        <f>IFERROR(INDEX('01_Customer_Tracker'!$B:$B,MATCH(B71,'01_Customer_Tracker'!$A:$A,0)),"")</f>
        <v/>
      </c>
    </row>
    <row r="72">
      <c r="A72" s="4" t="inlineStr">
        <is>
          <t>T0071</t>
        </is>
      </c>
      <c r="B72" s="4" t="inlineStr">
        <is>
          <t>C008</t>
        </is>
      </c>
      <c r="C72" s="4" t="inlineStr">
        <is>
          <t>Pre-run Reconciliation</t>
        </is>
      </c>
      <c r="D72" s="4" t="inlineStr">
        <is>
          <t>Payroll Ops</t>
        </is>
      </c>
      <c r="E72" s="5" t="n">
        <v>46296</v>
      </c>
      <c r="F72" s="4" t="inlineStr">
        <is>
          <t>Pending</t>
        </is>
      </c>
      <c r="G72" s="4">
        <f>IFERROR(INDEX('01_Customer_Tracker'!$B:$B,MATCH(B72,'01_Customer_Tracker'!$A:$A,0)),"")</f>
        <v/>
      </c>
    </row>
    <row r="73">
      <c r="A73" s="4" t="inlineStr">
        <is>
          <t>T0072</t>
        </is>
      </c>
      <c r="B73" s="4" t="inlineStr">
        <is>
          <t>C008</t>
        </is>
      </c>
      <c r="C73" s="4" t="inlineStr">
        <is>
          <t>Customer Approval Sign-off</t>
        </is>
      </c>
      <c r="D73" s="4" t="inlineStr">
        <is>
          <t>Customer</t>
        </is>
      </c>
      <c r="E73" s="5" t="n">
        <v>46300</v>
      </c>
      <c r="F73" s="4" t="inlineStr">
        <is>
          <t>Pending</t>
        </is>
      </c>
      <c r="G73" s="4">
        <f>IFERROR(INDEX('01_Customer_Tracker'!$B:$B,MATCH(B73,'01_Customer_Tracker'!$A:$A,0)),"")</f>
        <v/>
      </c>
    </row>
    <row r="74">
      <c r="A74" s="4" t="inlineStr">
        <is>
          <t>T0073</t>
        </is>
      </c>
      <c r="B74" s="4" t="inlineStr">
        <is>
          <t>C009</t>
        </is>
      </c>
      <c r="C74" s="4" t="inlineStr">
        <is>
          <t>Company Info &amp; KYC</t>
        </is>
      </c>
      <c r="D74" s="4" t="inlineStr">
        <is>
          <t>Customer</t>
        </is>
      </c>
      <c r="E74" s="5" t="n">
        <v>46239</v>
      </c>
      <c r="F74" s="4" t="inlineStr">
        <is>
          <t>Completed</t>
        </is>
      </c>
      <c r="G74" s="4">
        <f>IFERROR(INDEX('01_Customer_Tracker'!$B:$B,MATCH(B74,'01_Customer_Tracker'!$A:$A,0)),"")</f>
        <v/>
      </c>
    </row>
    <row r="75">
      <c r="A75" s="4" t="inlineStr">
        <is>
          <t>T0074</t>
        </is>
      </c>
      <c r="B75" s="4" t="inlineStr">
        <is>
          <t>C009</t>
        </is>
      </c>
      <c r="C75" s="4" t="inlineStr">
        <is>
          <t>Document Collection</t>
        </is>
      </c>
      <c r="D75" s="4" t="inlineStr">
        <is>
          <t>Customer</t>
        </is>
      </c>
      <c r="E75" s="5" t="n">
        <v>46242</v>
      </c>
      <c r="F75" s="4" t="inlineStr">
        <is>
          <t>Completed</t>
        </is>
      </c>
      <c r="G75" s="4">
        <f>IFERROR(INDEX('01_Customer_Tracker'!$B:$B,MATCH(B75,'01_Customer_Tracker'!$A:$A,0)),"")</f>
        <v/>
      </c>
    </row>
    <row r="76">
      <c r="A76" s="4" t="inlineStr">
        <is>
          <t>T0075</t>
        </is>
      </c>
      <c r="B76" s="4" t="inlineStr">
        <is>
          <t>C009</t>
        </is>
      </c>
      <c r="C76" s="4" t="inlineStr">
        <is>
          <t>Employee Data Upload</t>
        </is>
      </c>
      <c r="D76" s="4" t="inlineStr">
        <is>
          <t>Customer</t>
        </is>
      </c>
      <c r="E76" s="5" t="n">
        <v>46246</v>
      </c>
      <c r="F76" s="4" t="inlineStr">
        <is>
          <t>Completed</t>
        </is>
      </c>
      <c r="G76" s="4">
        <f>IFERROR(INDEX('01_Customer_Tracker'!$B:$B,MATCH(B76,'01_Customer_Tracker'!$A:$A,0)),"")</f>
        <v/>
      </c>
    </row>
    <row r="77">
      <c r="A77" s="4" t="inlineStr">
        <is>
          <t>T0076</t>
        </is>
      </c>
      <c r="B77" s="4" t="inlineStr">
        <is>
          <t>C009</t>
        </is>
      </c>
      <c r="C77" s="4" t="inlineStr">
        <is>
          <t>Bank Details Verification</t>
        </is>
      </c>
      <c r="D77" s="4" t="inlineStr">
        <is>
          <t>Ops</t>
        </is>
      </c>
      <c r="E77" s="5" t="n">
        <v>46250</v>
      </c>
      <c r="F77" s="4" t="inlineStr">
        <is>
          <t>Completed</t>
        </is>
      </c>
      <c r="G77" s="4">
        <f>IFERROR(INDEX('01_Customer_Tracker'!$B:$B,MATCH(B77,'01_Customer_Tracker'!$A:$A,0)),"")</f>
        <v/>
      </c>
    </row>
    <row r="78">
      <c r="A78" s="4" t="inlineStr">
        <is>
          <t>T0077</t>
        </is>
      </c>
      <c r="B78" s="4" t="inlineStr">
        <is>
          <t>C009</t>
        </is>
      </c>
      <c r="C78" s="4" t="inlineStr">
        <is>
          <t>PAN / UAN Verification</t>
        </is>
      </c>
      <c r="D78" s="4" t="inlineStr">
        <is>
          <t>Ops</t>
        </is>
      </c>
      <c r="E78" s="5" t="n">
        <v>46252</v>
      </c>
      <c r="F78" s="4" t="inlineStr">
        <is>
          <t>Completed</t>
        </is>
      </c>
      <c r="G78" s="4">
        <f>IFERROR(INDEX('01_Customer_Tracker'!$B:$B,MATCH(B78,'01_Customer_Tracker'!$A:$A,0)),"")</f>
        <v/>
      </c>
    </row>
    <row r="79">
      <c r="A79" s="4" t="inlineStr">
        <is>
          <t>T0078</t>
        </is>
      </c>
      <c r="B79" s="4" t="inlineStr">
        <is>
          <t>C009</t>
        </is>
      </c>
      <c r="C79" s="4" t="inlineStr">
        <is>
          <t>Attendance &amp; Leave Config</t>
        </is>
      </c>
      <c r="D79" s="4" t="inlineStr">
        <is>
          <t>Payroll Ops</t>
        </is>
      </c>
      <c r="E79" s="5" t="n">
        <v>46256</v>
      </c>
      <c r="F79" s="4" t="inlineStr">
        <is>
          <t>In Progress</t>
        </is>
      </c>
      <c r="G79" s="4">
        <f>IFERROR(INDEX('01_Customer_Tracker'!$B:$B,MATCH(B79,'01_Customer_Tracker'!$A:$A,0)),"")</f>
        <v/>
      </c>
    </row>
    <row r="80">
      <c r="A80" s="4" t="inlineStr">
        <is>
          <t>T0079</t>
        </is>
      </c>
      <c r="B80" s="4" t="inlineStr">
        <is>
          <t>C009</t>
        </is>
      </c>
      <c r="C80" s="4" t="inlineStr">
        <is>
          <t>Salary Structure Mapping</t>
        </is>
      </c>
      <c r="D80" s="4" t="inlineStr">
        <is>
          <t>Payroll Ops</t>
        </is>
      </c>
      <c r="E80" s="5" t="n">
        <v>46259</v>
      </c>
      <c r="F80" s="4" t="inlineStr">
        <is>
          <t>Pending</t>
        </is>
      </c>
      <c r="G80" s="4">
        <f>IFERROR(INDEX('01_Customer_Tracker'!$B:$B,MATCH(B80,'01_Customer_Tracker'!$A:$A,0)),"")</f>
        <v/>
      </c>
    </row>
    <row r="81">
      <c r="A81" s="4" t="inlineStr">
        <is>
          <t>T0080</t>
        </is>
      </c>
      <c r="B81" s="4" t="inlineStr">
        <is>
          <t>C009</t>
        </is>
      </c>
      <c r="C81" s="4" t="inlineStr">
        <is>
          <t>Pre-run Reconciliation</t>
        </is>
      </c>
      <c r="D81" s="4" t="inlineStr">
        <is>
          <t>Payroll Ops</t>
        </is>
      </c>
      <c r="E81" s="5" t="n">
        <v>46264</v>
      </c>
      <c r="F81" s="4" t="inlineStr">
        <is>
          <t>Pending</t>
        </is>
      </c>
      <c r="G81" s="4">
        <f>IFERROR(INDEX('01_Customer_Tracker'!$B:$B,MATCH(B81,'01_Customer_Tracker'!$A:$A,0)),"")</f>
        <v/>
      </c>
    </row>
    <row r="82">
      <c r="A82" s="4" t="inlineStr">
        <is>
          <t>T0081</t>
        </is>
      </c>
      <c r="B82" s="4" t="inlineStr">
        <is>
          <t>C009</t>
        </is>
      </c>
      <c r="C82" s="4" t="inlineStr">
        <is>
          <t>Customer Approval Sign-off</t>
        </is>
      </c>
      <c r="D82" s="4" t="inlineStr">
        <is>
          <t>Customer</t>
        </is>
      </c>
      <c r="E82" s="5" t="n">
        <v>46268</v>
      </c>
      <c r="F82" s="4" t="inlineStr">
        <is>
          <t>Pending</t>
        </is>
      </c>
      <c r="G82" s="4">
        <f>IFERROR(INDEX('01_Customer_Tracker'!$B:$B,MATCH(B82,'01_Customer_Tracker'!$A:$A,0)),"")</f>
        <v/>
      </c>
    </row>
    <row r="83">
      <c r="A83" s="4" t="inlineStr">
        <is>
          <t>T0082</t>
        </is>
      </c>
      <c r="B83" s="4" t="inlineStr">
        <is>
          <t>C010</t>
        </is>
      </c>
      <c r="C83" s="4" t="inlineStr">
        <is>
          <t>Company Info &amp; KYC</t>
        </is>
      </c>
      <c r="D83" s="4" t="inlineStr">
        <is>
          <t>Customer</t>
        </is>
      </c>
      <c r="E83" s="5" t="n">
        <v>46226</v>
      </c>
      <c r="F83" s="4" t="inlineStr">
        <is>
          <t>Completed</t>
        </is>
      </c>
      <c r="G83" s="4">
        <f>IFERROR(INDEX('01_Customer_Tracker'!$B:$B,MATCH(B83,'01_Customer_Tracker'!$A:$A,0)),"")</f>
        <v/>
      </c>
    </row>
    <row r="84">
      <c r="A84" s="4" t="inlineStr">
        <is>
          <t>T0083</t>
        </is>
      </c>
      <c r="B84" s="4" t="inlineStr">
        <is>
          <t>C010</t>
        </is>
      </c>
      <c r="C84" s="4" t="inlineStr">
        <is>
          <t>Document Collection</t>
        </is>
      </c>
      <c r="D84" s="4" t="inlineStr">
        <is>
          <t>Customer</t>
        </is>
      </c>
      <c r="E84" s="5" t="n">
        <v>46229</v>
      </c>
      <c r="F84" s="4" t="inlineStr">
        <is>
          <t>Completed</t>
        </is>
      </c>
      <c r="G84" s="4">
        <f>IFERROR(INDEX('01_Customer_Tracker'!$B:$B,MATCH(B84,'01_Customer_Tracker'!$A:$A,0)),"")</f>
        <v/>
      </c>
    </row>
    <row r="85">
      <c r="A85" s="4" t="inlineStr">
        <is>
          <t>T0084</t>
        </is>
      </c>
      <c r="B85" s="4" t="inlineStr">
        <is>
          <t>C010</t>
        </is>
      </c>
      <c r="C85" s="4" t="inlineStr">
        <is>
          <t>Employee Data Upload</t>
        </is>
      </c>
      <c r="D85" s="4" t="inlineStr">
        <is>
          <t>Customer</t>
        </is>
      </c>
      <c r="E85" s="5" t="n">
        <v>46233</v>
      </c>
      <c r="F85" s="4" t="inlineStr">
        <is>
          <t>Completed</t>
        </is>
      </c>
      <c r="G85" s="4">
        <f>IFERROR(INDEX('01_Customer_Tracker'!$B:$B,MATCH(B85,'01_Customer_Tracker'!$A:$A,0)),"")</f>
        <v/>
      </c>
    </row>
    <row r="86">
      <c r="A86" s="4" t="inlineStr">
        <is>
          <t>T0085</t>
        </is>
      </c>
      <c r="B86" s="4" t="inlineStr">
        <is>
          <t>C010</t>
        </is>
      </c>
      <c r="C86" s="4" t="inlineStr">
        <is>
          <t>Bank Details Verification</t>
        </is>
      </c>
      <c r="D86" s="4" t="inlineStr">
        <is>
          <t>Ops</t>
        </is>
      </c>
      <c r="E86" s="5" t="n">
        <v>46237</v>
      </c>
      <c r="F86" s="4" t="inlineStr">
        <is>
          <t>Completed</t>
        </is>
      </c>
      <c r="G86" s="4">
        <f>IFERROR(INDEX('01_Customer_Tracker'!$B:$B,MATCH(B86,'01_Customer_Tracker'!$A:$A,0)),"")</f>
        <v/>
      </c>
    </row>
    <row r="87">
      <c r="A87" s="4" t="inlineStr">
        <is>
          <t>T0086</t>
        </is>
      </c>
      <c r="B87" s="4" t="inlineStr">
        <is>
          <t>C010</t>
        </is>
      </c>
      <c r="C87" s="4" t="inlineStr">
        <is>
          <t>PAN / UAN Verification</t>
        </is>
      </c>
      <c r="D87" s="4" t="inlineStr">
        <is>
          <t>Ops</t>
        </is>
      </c>
      <c r="E87" s="5" t="n">
        <v>46239</v>
      </c>
      <c r="F87" s="4" t="inlineStr">
        <is>
          <t>Completed</t>
        </is>
      </c>
      <c r="G87" s="4">
        <f>IFERROR(INDEX('01_Customer_Tracker'!$B:$B,MATCH(B87,'01_Customer_Tracker'!$A:$A,0)),"")</f>
        <v/>
      </c>
    </row>
    <row r="88">
      <c r="A88" s="4" t="inlineStr">
        <is>
          <t>T0087</t>
        </is>
      </c>
      <c r="B88" s="4" t="inlineStr">
        <is>
          <t>C010</t>
        </is>
      </c>
      <c r="C88" s="4" t="inlineStr">
        <is>
          <t>Attendance &amp; Leave Config</t>
        </is>
      </c>
      <c r="D88" s="4" t="inlineStr">
        <is>
          <t>Payroll Ops</t>
        </is>
      </c>
      <c r="E88" s="5" t="n">
        <v>46243</v>
      </c>
      <c r="F88" s="4" t="inlineStr">
        <is>
          <t>Completed</t>
        </is>
      </c>
      <c r="G88" s="4">
        <f>IFERROR(INDEX('01_Customer_Tracker'!$B:$B,MATCH(B88,'01_Customer_Tracker'!$A:$A,0)),"")</f>
        <v/>
      </c>
    </row>
    <row r="89">
      <c r="A89" s="4" t="inlineStr">
        <is>
          <t>T0088</t>
        </is>
      </c>
      <c r="B89" s="4" t="inlineStr">
        <is>
          <t>C010</t>
        </is>
      </c>
      <c r="C89" s="4" t="inlineStr">
        <is>
          <t>Salary Structure Mapping</t>
        </is>
      </c>
      <c r="D89" s="4" t="inlineStr">
        <is>
          <t>Payroll Ops</t>
        </is>
      </c>
      <c r="E89" s="5" t="n">
        <v>46246</v>
      </c>
      <c r="F89" s="4" t="inlineStr">
        <is>
          <t>Completed</t>
        </is>
      </c>
      <c r="G89" s="4">
        <f>IFERROR(INDEX('01_Customer_Tracker'!$B:$B,MATCH(B89,'01_Customer_Tracker'!$A:$A,0)),"")</f>
        <v/>
      </c>
    </row>
    <row r="90">
      <c r="A90" s="4" t="inlineStr">
        <is>
          <t>T0089</t>
        </is>
      </c>
      <c r="B90" s="4" t="inlineStr">
        <is>
          <t>C010</t>
        </is>
      </c>
      <c r="C90" s="4" t="inlineStr">
        <is>
          <t>Pre-run Reconciliation</t>
        </is>
      </c>
      <c r="D90" s="4" t="inlineStr">
        <is>
          <t>Payroll Ops</t>
        </is>
      </c>
      <c r="E90" s="5" t="n">
        <v>46251</v>
      </c>
      <c r="F90" s="4" t="inlineStr">
        <is>
          <t>Completed</t>
        </is>
      </c>
      <c r="G90" s="4">
        <f>IFERROR(INDEX('01_Customer_Tracker'!$B:$B,MATCH(B90,'01_Customer_Tracker'!$A:$A,0)),"")</f>
        <v/>
      </c>
    </row>
    <row r="91">
      <c r="A91" s="4" t="inlineStr">
        <is>
          <t>T0090</t>
        </is>
      </c>
      <c r="B91" s="4" t="inlineStr">
        <is>
          <t>C010</t>
        </is>
      </c>
      <c r="C91" s="4" t="inlineStr">
        <is>
          <t>Customer Approval Sign-off</t>
        </is>
      </c>
      <c r="D91" s="4" t="inlineStr">
        <is>
          <t>Customer</t>
        </is>
      </c>
      <c r="E91" s="5" t="n">
        <v>46255</v>
      </c>
      <c r="F91" s="4" t="inlineStr">
        <is>
          <t>Completed</t>
        </is>
      </c>
      <c r="G91" s="4">
        <f>IFERROR(INDEX('01_Customer_Tracker'!$B:$B,MATCH(B91,'01_Customer_Tracker'!$A:$A,0)),"")</f>
        <v/>
      </c>
    </row>
    <row r="92">
      <c r="A92" s="4" t="inlineStr">
        <is>
          <t>T0091</t>
        </is>
      </c>
      <c r="B92" s="4" t="inlineStr">
        <is>
          <t>C011</t>
        </is>
      </c>
      <c r="C92" s="4" t="inlineStr">
        <is>
          <t>Company Info &amp; KYC</t>
        </is>
      </c>
      <c r="D92" s="4" t="inlineStr">
        <is>
          <t>Customer</t>
        </is>
      </c>
      <c r="E92" s="5" t="n">
        <v>46260</v>
      </c>
      <c r="F92" s="4" t="inlineStr">
        <is>
          <t>Completed</t>
        </is>
      </c>
      <c r="G92" s="4">
        <f>IFERROR(INDEX('01_Customer_Tracker'!$B:$B,MATCH(B92,'01_Customer_Tracker'!$A:$A,0)),"")</f>
        <v/>
      </c>
    </row>
    <row r="93">
      <c r="A93" s="4" t="inlineStr">
        <is>
          <t>T0092</t>
        </is>
      </c>
      <c r="B93" s="4" t="inlineStr">
        <is>
          <t>C011</t>
        </is>
      </c>
      <c r="C93" s="4" t="inlineStr">
        <is>
          <t>Document Collection</t>
        </is>
      </c>
      <c r="D93" s="4" t="inlineStr">
        <is>
          <t>Customer</t>
        </is>
      </c>
      <c r="E93" s="5" t="n">
        <v>46263</v>
      </c>
      <c r="F93" s="4" t="inlineStr">
        <is>
          <t>Completed</t>
        </is>
      </c>
      <c r="G93" s="4">
        <f>IFERROR(INDEX('01_Customer_Tracker'!$B:$B,MATCH(B93,'01_Customer_Tracker'!$A:$A,0)),"")</f>
        <v/>
      </c>
    </row>
    <row r="94">
      <c r="A94" s="4" t="inlineStr">
        <is>
          <t>T0093</t>
        </is>
      </c>
      <c r="B94" s="4" t="inlineStr">
        <is>
          <t>C011</t>
        </is>
      </c>
      <c r="C94" s="4" t="inlineStr">
        <is>
          <t>Employee Data Upload</t>
        </is>
      </c>
      <c r="D94" s="4" t="inlineStr">
        <is>
          <t>Customer</t>
        </is>
      </c>
      <c r="E94" s="5" t="n">
        <v>46267</v>
      </c>
      <c r="F94" s="4" t="inlineStr">
        <is>
          <t>Pending</t>
        </is>
      </c>
      <c r="G94" s="4">
        <f>IFERROR(INDEX('01_Customer_Tracker'!$B:$B,MATCH(B94,'01_Customer_Tracker'!$A:$A,0)),"")</f>
        <v/>
      </c>
    </row>
    <row r="95">
      <c r="A95" s="4" t="inlineStr">
        <is>
          <t>T0094</t>
        </is>
      </c>
      <c r="B95" s="4" t="inlineStr">
        <is>
          <t>C011</t>
        </is>
      </c>
      <c r="C95" s="4" t="inlineStr">
        <is>
          <t>Bank Details Verification</t>
        </is>
      </c>
      <c r="D95" s="4" t="inlineStr">
        <is>
          <t>Ops</t>
        </is>
      </c>
      <c r="E95" s="5" t="n">
        <v>46271</v>
      </c>
      <c r="F95" s="4" t="inlineStr">
        <is>
          <t>Pending</t>
        </is>
      </c>
      <c r="G95" s="4">
        <f>IFERROR(INDEX('01_Customer_Tracker'!$B:$B,MATCH(B95,'01_Customer_Tracker'!$A:$A,0)),"")</f>
        <v/>
      </c>
    </row>
    <row r="96">
      <c r="A96" s="4" t="inlineStr">
        <is>
          <t>T0095</t>
        </is>
      </c>
      <c r="B96" s="4" t="inlineStr">
        <is>
          <t>C011</t>
        </is>
      </c>
      <c r="C96" s="4" t="inlineStr">
        <is>
          <t>PAN / UAN Verification</t>
        </is>
      </c>
      <c r="D96" s="4" t="inlineStr">
        <is>
          <t>Ops</t>
        </is>
      </c>
      <c r="E96" s="5" t="n">
        <v>46273</v>
      </c>
      <c r="F96" s="4" t="inlineStr">
        <is>
          <t>Pending</t>
        </is>
      </c>
      <c r="G96" s="4">
        <f>IFERROR(INDEX('01_Customer_Tracker'!$B:$B,MATCH(B96,'01_Customer_Tracker'!$A:$A,0)),"")</f>
        <v/>
      </c>
    </row>
    <row r="97">
      <c r="A97" s="4" t="inlineStr">
        <is>
          <t>T0096</t>
        </is>
      </c>
      <c r="B97" s="4" t="inlineStr">
        <is>
          <t>C011</t>
        </is>
      </c>
      <c r="C97" s="4" t="inlineStr">
        <is>
          <t>Attendance &amp; Leave Config</t>
        </is>
      </c>
      <c r="D97" s="4" t="inlineStr">
        <is>
          <t>Payroll Ops</t>
        </is>
      </c>
      <c r="E97" s="5" t="n">
        <v>46277</v>
      </c>
      <c r="F97" s="4" t="inlineStr">
        <is>
          <t>Pending</t>
        </is>
      </c>
      <c r="G97" s="4">
        <f>IFERROR(INDEX('01_Customer_Tracker'!$B:$B,MATCH(B97,'01_Customer_Tracker'!$A:$A,0)),"")</f>
        <v/>
      </c>
    </row>
    <row r="98">
      <c r="A98" s="4" t="inlineStr">
        <is>
          <t>T0097</t>
        </is>
      </c>
      <c r="B98" s="4" t="inlineStr">
        <is>
          <t>C011</t>
        </is>
      </c>
      <c r="C98" s="4" t="inlineStr">
        <is>
          <t>Salary Structure Mapping</t>
        </is>
      </c>
      <c r="D98" s="4" t="inlineStr">
        <is>
          <t>Payroll Ops</t>
        </is>
      </c>
      <c r="E98" s="5" t="n">
        <v>46280</v>
      </c>
      <c r="F98" s="4" t="inlineStr">
        <is>
          <t>Pending</t>
        </is>
      </c>
      <c r="G98" s="4">
        <f>IFERROR(INDEX('01_Customer_Tracker'!$B:$B,MATCH(B98,'01_Customer_Tracker'!$A:$A,0)),"")</f>
        <v/>
      </c>
    </row>
    <row r="99">
      <c r="A99" s="4" t="inlineStr">
        <is>
          <t>T0098</t>
        </is>
      </c>
      <c r="B99" s="4" t="inlineStr">
        <is>
          <t>C011</t>
        </is>
      </c>
      <c r="C99" s="4" t="inlineStr">
        <is>
          <t>Pre-run Reconciliation</t>
        </is>
      </c>
      <c r="D99" s="4" t="inlineStr">
        <is>
          <t>Payroll Ops</t>
        </is>
      </c>
      <c r="E99" s="5" t="n">
        <v>46285</v>
      </c>
      <c r="F99" s="4" t="inlineStr">
        <is>
          <t>Pending</t>
        </is>
      </c>
      <c r="G99" s="4">
        <f>IFERROR(INDEX('01_Customer_Tracker'!$B:$B,MATCH(B99,'01_Customer_Tracker'!$A:$A,0)),"")</f>
        <v/>
      </c>
    </row>
    <row r="100">
      <c r="A100" s="4" t="inlineStr">
        <is>
          <t>T0099</t>
        </is>
      </c>
      <c r="B100" s="4" t="inlineStr">
        <is>
          <t>C011</t>
        </is>
      </c>
      <c r="C100" s="4" t="inlineStr">
        <is>
          <t>Customer Approval Sign-off</t>
        </is>
      </c>
      <c r="D100" s="4" t="inlineStr">
        <is>
          <t>Customer</t>
        </is>
      </c>
      <c r="E100" s="5" t="n">
        <v>46289</v>
      </c>
      <c r="F100" s="4" t="inlineStr">
        <is>
          <t>Pending</t>
        </is>
      </c>
      <c r="G100" s="4">
        <f>IFERROR(INDEX('01_Customer_Tracker'!$B:$B,MATCH(B100,'01_Customer_Tracker'!$A:$A,0)),"")</f>
        <v/>
      </c>
    </row>
    <row r="101">
      <c r="A101" s="4" t="inlineStr">
        <is>
          <t>T0100</t>
        </is>
      </c>
      <c r="B101" s="4" t="inlineStr">
        <is>
          <t>C012</t>
        </is>
      </c>
      <c r="C101" s="4" t="inlineStr">
        <is>
          <t>Company Info &amp; KYC</t>
        </is>
      </c>
      <c r="D101" s="4" t="inlineStr">
        <is>
          <t>Customer</t>
        </is>
      </c>
      <c r="E101" s="5" t="n">
        <v>46225</v>
      </c>
      <c r="F101" s="4" t="inlineStr">
        <is>
          <t>Completed</t>
        </is>
      </c>
      <c r="G101" s="4">
        <f>IFERROR(INDEX('01_Customer_Tracker'!$B:$B,MATCH(B101,'01_Customer_Tracker'!$A:$A,0)),"")</f>
        <v/>
      </c>
    </row>
    <row r="102">
      <c r="A102" s="4" t="inlineStr">
        <is>
          <t>T0101</t>
        </is>
      </c>
      <c r="B102" s="4" t="inlineStr">
        <is>
          <t>C012</t>
        </is>
      </c>
      <c r="C102" s="4" t="inlineStr">
        <is>
          <t>Document Collection</t>
        </is>
      </c>
      <c r="D102" s="4" t="inlineStr">
        <is>
          <t>Customer</t>
        </is>
      </c>
      <c r="E102" s="5" t="n">
        <v>46228</v>
      </c>
      <c r="F102" s="4" t="inlineStr">
        <is>
          <t>Completed</t>
        </is>
      </c>
      <c r="G102" s="4">
        <f>IFERROR(INDEX('01_Customer_Tracker'!$B:$B,MATCH(B102,'01_Customer_Tracker'!$A:$A,0)),"")</f>
        <v/>
      </c>
    </row>
    <row r="103">
      <c r="A103" s="4" t="inlineStr">
        <is>
          <t>T0102</t>
        </is>
      </c>
      <c r="B103" s="4" t="inlineStr">
        <is>
          <t>C012</t>
        </is>
      </c>
      <c r="C103" s="4" t="inlineStr">
        <is>
          <t>Employee Data Upload</t>
        </is>
      </c>
      <c r="D103" s="4" t="inlineStr">
        <is>
          <t>Customer</t>
        </is>
      </c>
      <c r="E103" s="5" t="n">
        <v>46232</v>
      </c>
      <c r="F103" s="4" t="inlineStr">
        <is>
          <t>Completed</t>
        </is>
      </c>
      <c r="G103" s="4">
        <f>IFERROR(INDEX('01_Customer_Tracker'!$B:$B,MATCH(B103,'01_Customer_Tracker'!$A:$A,0)),"")</f>
        <v/>
      </c>
    </row>
    <row r="104">
      <c r="A104" s="4" t="inlineStr">
        <is>
          <t>T0103</t>
        </is>
      </c>
      <c r="B104" s="4" t="inlineStr">
        <is>
          <t>C012</t>
        </is>
      </c>
      <c r="C104" s="4" t="inlineStr">
        <is>
          <t>Bank Details Verification</t>
        </is>
      </c>
      <c r="D104" s="4" t="inlineStr">
        <is>
          <t>Ops</t>
        </is>
      </c>
      <c r="E104" s="5" t="n">
        <v>46236</v>
      </c>
      <c r="F104" s="4" t="inlineStr">
        <is>
          <t>Completed</t>
        </is>
      </c>
      <c r="G104" s="4">
        <f>IFERROR(INDEX('01_Customer_Tracker'!$B:$B,MATCH(B104,'01_Customer_Tracker'!$A:$A,0)),"")</f>
        <v/>
      </c>
    </row>
    <row r="105">
      <c r="A105" s="4" t="inlineStr">
        <is>
          <t>T0104</t>
        </is>
      </c>
      <c r="B105" s="4" t="inlineStr">
        <is>
          <t>C012</t>
        </is>
      </c>
      <c r="C105" s="4" t="inlineStr">
        <is>
          <t>PAN / UAN Verification</t>
        </is>
      </c>
      <c r="D105" s="4" t="inlineStr">
        <is>
          <t>Ops</t>
        </is>
      </c>
      <c r="E105" s="5" t="n">
        <v>46238</v>
      </c>
      <c r="F105" s="4" t="inlineStr">
        <is>
          <t>Completed</t>
        </is>
      </c>
      <c r="G105" s="4">
        <f>IFERROR(INDEX('01_Customer_Tracker'!$B:$B,MATCH(B105,'01_Customer_Tracker'!$A:$A,0)),"")</f>
        <v/>
      </c>
    </row>
    <row r="106">
      <c r="A106" s="4" t="inlineStr">
        <is>
          <t>T0105</t>
        </is>
      </c>
      <c r="B106" s="4" t="inlineStr">
        <is>
          <t>C012</t>
        </is>
      </c>
      <c r="C106" s="4" t="inlineStr">
        <is>
          <t>Attendance &amp; Leave Config</t>
        </is>
      </c>
      <c r="D106" s="4" t="inlineStr">
        <is>
          <t>Payroll Ops</t>
        </is>
      </c>
      <c r="E106" s="5" t="n">
        <v>46242</v>
      </c>
      <c r="F106" s="4" t="inlineStr">
        <is>
          <t>Completed</t>
        </is>
      </c>
      <c r="G106" s="4">
        <f>IFERROR(INDEX('01_Customer_Tracker'!$B:$B,MATCH(B106,'01_Customer_Tracker'!$A:$A,0)),"")</f>
        <v/>
      </c>
    </row>
    <row r="107">
      <c r="A107" s="4" t="inlineStr">
        <is>
          <t>T0106</t>
        </is>
      </c>
      <c r="B107" s="4" t="inlineStr">
        <is>
          <t>C012</t>
        </is>
      </c>
      <c r="C107" s="4" t="inlineStr">
        <is>
          <t>Salary Structure Mapping</t>
        </is>
      </c>
      <c r="D107" s="4" t="inlineStr">
        <is>
          <t>Payroll Ops</t>
        </is>
      </c>
      <c r="E107" s="5" t="n">
        <v>46245</v>
      </c>
      <c r="F107" s="4" t="inlineStr">
        <is>
          <t>Completed</t>
        </is>
      </c>
      <c r="G107" s="4">
        <f>IFERROR(INDEX('01_Customer_Tracker'!$B:$B,MATCH(B107,'01_Customer_Tracker'!$A:$A,0)),"")</f>
        <v/>
      </c>
    </row>
    <row r="108">
      <c r="A108" s="4" t="inlineStr">
        <is>
          <t>T0107</t>
        </is>
      </c>
      <c r="B108" s="4" t="inlineStr">
        <is>
          <t>C012</t>
        </is>
      </c>
      <c r="C108" s="4" t="inlineStr">
        <is>
          <t>Pre-run Reconciliation</t>
        </is>
      </c>
      <c r="D108" s="4" t="inlineStr">
        <is>
          <t>Payroll Ops</t>
        </is>
      </c>
      <c r="E108" s="5" t="n">
        <v>46250</v>
      </c>
      <c r="F108" s="4" t="inlineStr">
        <is>
          <t>Completed</t>
        </is>
      </c>
      <c r="G108" s="4">
        <f>IFERROR(INDEX('01_Customer_Tracker'!$B:$B,MATCH(B108,'01_Customer_Tracker'!$A:$A,0)),"")</f>
        <v/>
      </c>
    </row>
    <row r="109">
      <c r="A109" s="4" t="inlineStr">
        <is>
          <t>T0108</t>
        </is>
      </c>
      <c r="B109" s="4" t="inlineStr">
        <is>
          <t>C012</t>
        </is>
      </c>
      <c r="C109" s="4" t="inlineStr">
        <is>
          <t>Customer Approval Sign-off</t>
        </is>
      </c>
      <c r="D109" s="4" t="inlineStr">
        <is>
          <t>Customer</t>
        </is>
      </c>
      <c r="E109" s="5" t="n">
        <v>46254</v>
      </c>
      <c r="F109" s="4" t="inlineStr">
        <is>
          <t>Completed</t>
        </is>
      </c>
      <c r="G109" s="4">
        <f>IFERROR(INDEX('01_Customer_Tracker'!$B:$B,MATCH(B109,'01_Customer_Tracker'!$A:$A,0)),"")</f>
        <v/>
      </c>
    </row>
    <row r="110">
      <c r="A110" s="4" t="inlineStr">
        <is>
          <t>T0109</t>
        </is>
      </c>
      <c r="B110" s="4" t="inlineStr">
        <is>
          <t>C013</t>
        </is>
      </c>
      <c r="C110" s="4" t="inlineStr">
        <is>
          <t>Company Info &amp; KYC</t>
        </is>
      </c>
      <c r="D110" s="4" t="inlineStr">
        <is>
          <t>Customer</t>
        </is>
      </c>
      <c r="E110" s="5" t="n">
        <v>46260</v>
      </c>
      <c r="F110" s="4" t="inlineStr">
        <is>
          <t>Completed</t>
        </is>
      </c>
      <c r="G110" s="4">
        <f>IFERROR(INDEX('01_Customer_Tracker'!$B:$B,MATCH(B110,'01_Customer_Tracker'!$A:$A,0)),"")</f>
        <v/>
      </c>
    </row>
    <row r="111">
      <c r="A111" s="4" t="inlineStr">
        <is>
          <t>T0110</t>
        </is>
      </c>
      <c r="B111" s="4" t="inlineStr">
        <is>
          <t>C013</t>
        </is>
      </c>
      <c r="C111" s="4" t="inlineStr">
        <is>
          <t>Document Collection</t>
        </is>
      </c>
      <c r="D111" s="4" t="inlineStr">
        <is>
          <t>Customer</t>
        </is>
      </c>
      <c r="E111" s="5" t="n">
        <v>46263</v>
      </c>
      <c r="F111" s="4" t="inlineStr">
        <is>
          <t>Completed</t>
        </is>
      </c>
      <c r="G111" s="4">
        <f>IFERROR(INDEX('01_Customer_Tracker'!$B:$B,MATCH(B111,'01_Customer_Tracker'!$A:$A,0)),"")</f>
        <v/>
      </c>
    </row>
    <row r="112">
      <c r="A112" s="4" t="inlineStr">
        <is>
          <t>T0111</t>
        </is>
      </c>
      <c r="B112" s="4" t="inlineStr">
        <is>
          <t>C013</t>
        </is>
      </c>
      <c r="C112" s="4" t="inlineStr">
        <is>
          <t>Employee Data Upload</t>
        </is>
      </c>
      <c r="D112" s="4" t="inlineStr">
        <is>
          <t>Customer</t>
        </is>
      </c>
      <c r="E112" s="5" t="n">
        <v>46267</v>
      </c>
      <c r="F112" s="4" t="inlineStr">
        <is>
          <t>Completed</t>
        </is>
      </c>
      <c r="G112" s="4">
        <f>IFERROR(INDEX('01_Customer_Tracker'!$B:$B,MATCH(B112,'01_Customer_Tracker'!$A:$A,0)),"")</f>
        <v/>
      </c>
    </row>
    <row r="113">
      <c r="A113" s="4" t="inlineStr">
        <is>
          <t>T0112</t>
        </is>
      </c>
      <c r="B113" s="4" t="inlineStr">
        <is>
          <t>C013</t>
        </is>
      </c>
      <c r="C113" s="4" t="inlineStr">
        <is>
          <t>Bank Details Verification</t>
        </is>
      </c>
      <c r="D113" s="4" t="inlineStr">
        <is>
          <t>Ops</t>
        </is>
      </c>
      <c r="E113" s="5" t="n">
        <v>46271</v>
      </c>
      <c r="F113" s="4" t="inlineStr">
        <is>
          <t>Completed</t>
        </is>
      </c>
      <c r="G113" s="4">
        <f>IFERROR(INDEX('01_Customer_Tracker'!$B:$B,MATCH(B113,'01_Customer_Tracker'!$A:$A,0)),"")</f>
        <v/>
      </c>
    </row>
    <row r="114">
      <c r="A114" s="4" t="inlineStr">
        <is>
          <t>T0113</t>
        </is>
      </c>
      <c r="B114" s="4" t="inlineStr">
        <is>
          <t>C013</t>
        </is>
      </c>
      <c r="C114" s="4" t="inlineStr">
        <is>
          <t>PAN / UAN Verification</t>
        </is>
      </c>
      <c r="D114" s="4" t="inlineStr">
        <is>
          <t>Ops</t>
        </is>
      </c>
      <c r="E114" s="5" t="n">
        <v>46273</v>
      </c>
      <c r="F114" s="4" t="inlineStr">
        <is>
          <t>Completed</t>
        </is>
      </c>
      <c r="G114" s="4">
        <f>IFERROR(INDEX('01_Customer_Tracker'!$B:$B,MATCH(B114,'01_Customer_Tracker'!$A:$A,0)),"")</f>
        <v/>
      </c>
    </row>
    <row r="115">
      <c r="A115" s="4" t="inlineStr">
        <is>
          <t>T0114</t>
        </is>
      </c>
      <c r="B115" s="4" t="inlineStr">
        <is>
          <t>C013</t>
        </is>
      </c>
      <c r="C115" s="4" t="inlineStr">
        <is>
          <t>Attendance &amp; Leave Config</t>
        </is>
      </c>
      <c r="D115" s="4" t="inlineStr">
        <is>
          <t>Payroll Ops</t>
        </is>
      </c>
      <c r="E115" s="5" t="n">
        <v>46277</v>
      </c>
      <c r="F115" s="4" t="inlineStr">
        <is>
          <t>Completed</t>
        </is>
      </c>
      <c r="G115" s="4">
        <f>IFERROR(INDEX('01_Customer_Tracker'!$B:$B,MATCH(B115,'01_Customer_Tracker'!$A:$A,0)),"")</f>
        <v/>
      </c>
    </row>
    <row r="116">
      <c r="A116" s="4" t="inlineStr">
        <is>
          <t>T0115</t>
        </is>
      </c>
      <c r="B116" s="4" t="inlineStr">
        <is>
          <t>C013</t>
        </is>
      </c>
      <c r="C116" s="4" t="inlineStr">
        <is>
          <t>Salary Structure Mapping</t>
        </is>
      </c>
      <c r="D116" s="4" t="inlineStr">
        <is>
          <t>Payroll Ops</t>
        </is>
      </c>
      <c r="E116" s="5" t="n">
        <v>46280</v>
      </c>
      <c r="F116" s="4" t="inlineStr">
        <is>
          <t>Completed</t>
        </is>
      </c>
      <c r="G116" s="4">
        <f>IFERROR(INDEX('01_Customer_Tracker'!$B:$B,MATCH(B116,'01_Customer_Tracker'!$A:$A,0)),"")</f>
        <v/>
      </c>
    </row>
    <row r="117">
      <c r="A117" s="4" t="inlineStr">
        <is>
          <t>T0116</t>
        </is>
      </c>
      <c r="B117" s="4" t="inlineStr">
        <is>
          <t>C013</t>
        </is>
      </c>
      <c r="C117" s="4" t="inlineStr">
        <is>
          <t>Pre-run Reconciliation</t>
        </is>
      </c>
      <c r="D117" s="4" t="inlineStr">
        <is>
          <t>Payroll Ops</t>
        </is>
      </c>
      <c r="E117" s="5" t="n">
        <v>46285</v>
      </c>
      <c r="F117" s="4" t="inlineStr">
        <is>
          <t>Completed</t>
        </is>
      </c>
      <c r="G117" s="4">
        <f>IFERROR(INDEX('01_Customer_Tracker'!$B:$B,MATCH(B117,'01_Customer_Tracker'!$A:$A,0)),"")</f>
        <v/>
      </c>
    </row>
    <row r="118">
      <c r="A118" s="4" t="inlineStr">
        <is>
          <t>T0117</t>
        </is>
      </c>
      <c r="B118" s="4" t="inlineStr">
        <is>
          <t>C013</t>
        </is>
      </c>
      <c r="C118" s="4" t="inlineStr">
        <is>
          <t>Customer Approval Sign-off</t>
        </is>
      </c>
      <c r="D118" s="4" t="inlineStr">
        <is>
          <t>Customer</t>
        </is>
      </c>
      <c r="E118" s="5" t="n">
        <v>46289</v>
      </c>
      <c r="F118" s="4" t="inlineStr">
        <is>
          <t>In Progress</t>
        </is>
      </c>
      <c r="G118" s="4">
        <f>IFERROR(INDEX('01_Customer_Tracker'!$B:$B,MATCH(B118,'01_Customer_Tracker'!$A:$A,0)),"")</f>
        <v/>
      </c>
    </row>
    <row r="119">
      <c r="A119" s="4" t="inlineStr">
        <is>
          <t>T0118</t>
        </is>
      </c>
      <c r="B119" s="4" t="inlineStr">
        <is>
          <t>C014</t>
        </is>
      </c>
      <c r="C119" s="4" t="inlineStr">
        <is>
          <t>Company Info &amp; KYC</t>
        </is>
      </c>
      <c r="D119" s="4" t="inlineStr">
        <is>
          <t>Customer</t>
        </is>
      </c>
      <c r="E119" s="5" t="n">
        <v>46238</v>
      </c>
      <c r="F119" s="4" t="inlineStr">
        <is>
          <t>Completed</t>
        </is>
      </c>
      <c r="G119" s="4">
        <f>IFERROR(INDEX('01_Customer_Tracker'!$B:$B,MATCH(B119,'01_Customer_Tracker'!$A:$A,0)),"")</f>
        <v/>
      </c>
    </row>
    <row r="120">
      <c r="A120" s="4" t="inlineStr">
        <is>
          <t>T0119</t>
        </is>
      </c>
      <c r="B120" s="4" t="inlineStr">
        <is>
          <t>C014</t>
        </is>
      </c>
      <c r="C120" s="4" t="inlineStr">
        <is>
          <t>Document Collection</t>
        </is>
      </c>
      <c r="D120" s="4" t="inlineStr">
        <is>
          <t>Customer</t>
        </is>
      </c>
      <c r="E120" s="5" t="n">
        <v>46241</v>
      </c>
      <c r="F120" s="4" t="inlineStr">
        <is>
          <t>Completed</t>
        </is>
      </c>
      <c r="G120" s="4">
        <f>IFERROR(INDEX('01_Customer_Tracker'!$B:$B,MATCH(B120,'01_Customer_Tracker'!$A:$A,0)),"")</f>
        <v/>
      </c>
    </row>
    <row r="121">
      <c r="A121" s="4" t="inlineStr">
        <is>
          <t>T0120</t>
        </is>
      </c>
      <c r="B121" s="4" t="inlineStr">
        <is>
          <t>C014</t>
        </is>
      </c>
      <c r="C121" s="4" t="inlineStr">
        <is>
          <t>Employee Data Upload</t>
        </is>
      </c>
      <c r="D121" s="4" t="inlineStr">
        <is>
          <t>Customer</t>
        </is>
      </c>
      <c r="E121" s="5" t="n">
        <v>46245</v>
      </c>
      <c r="F121" s="4" t="inlineStr">
        <is>
          <t>Completed</t>
        </is>
      </c>
      <c r="G121" s="4">
        <f>IFERROR(INDEX('01_Customer_Tracker'!$B:$B,MATCH(B121,'01_Customer_Tracker'!$A:$A,0)),"")</f>
        <v/>
      </c>
    </row>
    <row r="122">
      <c r="A122" s="4" t="inlineStr">
        <is>
          <t>T0121</t>
        </is>
      </c>
      <c r="B122" s="4" t="inlineStr">
        <is>
          <t>C014</t>
        </is>
      </c>
      <c r="C122" s="4" t="inlineStr">
        <is>
          <t>Bank Details Verification</t>
        </is>
      </c>
      <c r="D122" s="4" t="inlineStr">
        <is>
          <t>Ops</t>
        </is>
      </c>
      <c r="E122" s="5" t="n">
        <v>46249</v>
      </c>
      <c r="F122" s="4" t="inlineStr">
        <is>
          <t>Completed</t>
        </is>
      </c>
      <c r="G122" s="4">
        <f>IFERROR(INDEX('01_Customer_Tracker'!$B:$B,MATCH(B122,'01_Customer_Tracker'!$A:$A,0)),"")</f>
        <v/>
      </c>
    </row>
    <row r="123">
      <c r="A123" s="4" t="inlineStr">
        <is>
          <t>T0122</t>
        </is>
      </c>
      <c r="B123" s="4" t="inlineStr">
        <is>
          <t>C014</t>
        </is>
      </c>
      <c r="C123" s="4" t="inlineStr">
        <is>
          <t>PAN / UAN Verification</t>
        </is>
      </c>
      <c r="D123" s="4" t="inlineStr">
        <is>
          <t>Ops</t>
        </is>
      </c>
      <c r="E123" s="5" t="n">
        <v>46251</v>
      </c>
      <c r="F123" s="4" t="inlineStr">
        <is>
          <t>Completed</t>
        </is>
      </c>
      <c r="G123" s="4">
        <f>IFERROR(INDEX('01_Customer_Tracker'!$B:$B,MATCH(B123,'01_Customer_Tracker'!$A:$A,0)),"")</f>
        <v/>
      </c>
    </row>
    <row r="124">
      <c r="A124" s="4" t="inlineStr">
        <is>
          <t>T0123</t>
        </is>
      </c>
      <c r="B124" s="4" t="inlineStr">
        <is>
          <t>C014</t>
        </is>
      </c>
      <c r="C124" s="4" t="inlineStr">
        <is>
          <t>Attendance &amp; Leave Config</t>
        </is>
      </c>
      <c r="D124" s="4" t="inlineStr">
        <is>
          <t>Payroll Ops</t>
        </is>
      </c>
      <c r="E124" s="5" t="n">
        <v>46255</v>
      </c>
      <c r="F124" s="4" t="inlineStr">
        <is>
          <t>Completed</t>
        </is>
      </c>
      <c r="G124" s="4">
        <f>IFERROR(INDEX('01_Customer_Tracker'!$B:$B,MATCH(B124,'01_Customer_Tracker'!$A:$A,0)),"")</f>
        <v/>
      </c>
    </row>
    <row r="125">
      <c r="A125" s="4" t="inlineStr">
        <is>
          <t>T0124</t>
        </is>
      </c>
      <c r="B125" s="4" t="inlineStr">
        <is>
          <t>C014</t>
        </is>
      </c>
      <c r="C125" s="4" t="inlineStr">
        <is>
          <t>Salary Structure Mapping</t>
        </is>
      </c>
      <c r="D125" s="4" t="inlineStr">
        <is>
          <t>Payroll Ops</t>
        </is>
      </c>
      <c r="E125" s="5" t="n">
        <v>46258</v>
      </c>
      <c r="F125" s="4" t="inlineStr">
        <is>
          <t>Completed</t>
        </is>
      </c>
      <c r="G125" s="4">
        <f>IFERROR(INDEX('01_Customer_Tracker'!$B:$B,MATCH(B125,'01_Customer_Tracker'!$A:$A,0)),"")</f>
        <v/>
      </c>
    </row>
    <row r="126">
      <c r="A126" s="4" t="inlineStr">
        <is>
          <t>T0125</t>
        </is>
      </c>
      <c r="B126" s="4" t="inlineStr">
        <is>
          <t>C014</t>
        </is>
      </c>
      <c r="C126" s="4" t="inlineStr">
        <is>
          <t>Pre-run Reconciliation</t>
        </is>
      </c>
      <c r="D126" s="4" t="inlineStr">
        <is>
          <t>Payroll Ops</t>
        </is>
      </c>
      <c r="E126" s="5" t="n">
        <v>46263</v>
      </c>
      <c r="F126" s="4" t="inlineStr">
        <is>
          <t>In Progress</t>
        </is>
      </c>
      <c r="G126" s="4">
        <f>IFERROR(INDEX('01_Customer_Tracker'!$B:$B,MATCH(B126,'01_Customer_Tracker'!$A:$A,0)),"")</f>
        <v/>
      </c>
    </row>
    <row r="127">
      <c r="A127" s="4" t="inlineStr">
        <is>
          <t>T0126</t>
        </is>
      </c>
      <c r="B127" s="4" t="inlineStr">
        <is>
          <t>C014</t>
        </is>
      </c>
      <c r="C127" s="4" t="inlineStr">
        <is>
          <t>Customer Approval Sign-off</t>
        </is>
      </c>
      <c r="D127" s="4" t="inlineStr">
        <is>
          <t>Customer</t>
        </is>
      </c>
      <c r="E127" s="5" t="n">
        <v>46267</v>
      </c>
      <c r="F127" s="4" t="inlineStr">
        <is>
          <t>Pending</t>
        </is>
      </c>
      <c r="G127" s="4">
        <f>IFERROR(INDEX('01_Customer_Tracker'!$B:$B,MATCH(B127,'01_Customer_Tracker'!$A:$A,0)),"")</f>
        <v/>
      </c>
    </row>
    <row r="128">
      <c r="A128" s="4" t="inlineStr">
        <is>
          <t>T0127</t>
        </is>
      </c>
      <c r="B128" s="4" t="inlineStr">
        <is>
          <t>C015</t>
        </is>
      </c>
      <c r="C128" s="4" t="inlineStr">
        <is>
          <t>Company Info &amp; KYC</t>
        </is>
      </c>
      <c r="D128" s="4" t="inlineStr">
        <is>
          <t>Customer</t>
        </is>
      </c>
      <c r="E128" s="5" t="n">
        <v>46253</v>
      </c>
      <c r="F128" s="4" t="inlineStr">
        <is>
          <t>Completed</t>
        </is>
      </c>
      <c r="G128" s="4">
        <f>IFERROR(INDEX('01_Customer_Tracker'!$B:$B,MATCH(B128,'01_Customer_Tracker'!$A:$A,0)),"")</f>
        <v/>
      </c>
    </row>
    <row r="129">
      <c r="A129" s="4" t="inlineStr">
        <is>
          <t>T0128</t>
        </is>
      </c>
      <c r="B129" s="4" t="inlineStr">
        <is>
          <t>C015</t>
        </is>
      </c>
      <c r="C129" s="4" t="inlineStr">
        <is>
          <t>Document Collection</t>
        </is>
      </c>
      <c r="D129" s="4" t="inlineStr">
        <is>
          <t>Customer</t>
        </is>
      </c>
      <c r="E129" s="5" t="n">
        <v>46256</v>
      </c>
      <c r="F129" s="4" t="inlineStr">
        <is>
          <t>Completed</t>
        </is>
      </c>
      <c r="G129" s="4">
        <f>IFERROR(INDEX('01_Customer_Tracker'!$B:$B,MATCH(B129,'01_Customer_Tracker'!$A:$A,0)),"")</f>
        <v/>
      </c>
    </row>
    <row r="130">
      <c r="A130" s="4" t="inlineStr">
        <is>
          <t>T0129</t>
        </is>
      </c>
      <c r="B130" s="4" t="inlineStr">
        <is>
          <t>C015</t>
        </is>
      </c>
      <c r="C130" s="4" t="inlineStr">
        <is>
          <t>Employee Data Upload</t>
        </is>
      </c>
      <c r="D130" s="4" t="inlineStr">
        <is>
          <t>Customer</t>
        </is>
      </c>
      <c r="E130" s="5" t="n">
        <v>46260</v>
      </c>
      <c r="F130" s="4" t="inlineStr">
        <is>
          <t>Completed</t>
        </is>
      </c>
      <c r="G130" s="4">
        <f>IFERROR(INDEX('01_Customer_Tracker'!$B:$B,MATCH(B130,'01_Customer_Tracker'!$A:$A,0)),"")</f>
        <v/>
      </c>
    </row>
    <row r="131">
      <c r="A131" s="4" t="inlineStr">
        <is>
          <t>T0130</t>
        </is>
      </c>
      <c r="B131" s="4" t="inlineStr">
        <is>
          <t>C015</t>
        </is>
      </c>
      <c r="C131" s="4" t="inlineStr">
        <is>
          <t>Bank Details Verification</t>
        </is>
      </c>
      <c r="D131" s="4" t="inlineStr">
        <is>
          <t>Ops</t>
        </is>
      </c>
      <c r="E131" s="5" t="n">
        <v>46264</v>
      </c>
      <c r="F131" s="4" t="inlineStr">
        <is>
          <t>Pending</t>
        </is>
      </c>
      <c r="G131" s="4">
        <f>IFERROR(INDEX('01_Customer_Tracker'!$B:$B,MATCH(B131,'01_Customer_Tracker'!$A:$A,0)),"")</f>
        <v/>
      </c>
    </row>
    <row r="132">
      <c r="A132" s="4" t="inlineStr">
        <is>
          <t>T0131</t>
        </is>
      </c>
      <c r="B132" s="4" t="inlineStr">
        <is>
          <t>C015</t>
        </is>
      </c>
      <c r="C132" s="4" t="inlineStr">
        <is>
          <t>PAN / UAN Verification</t>
        </is>
      </c>
      <c r="D132" s="4" t="inlineStr">
        <is>
          <t>Ops</t>
        </is>
      </c>
      <c r="E132" s="5" t="n">
        <v>46266</v>
      </c>
      <c r="F132" s="4" t="inlineStr">
        <is>
          <t>Pending</t>
        </is>
      </c>
      <c r="G132" s="4">
        <f>IFERROR(INDEX('01_Customer_Tracker'!$B:$B,MATCH(B132,'01_Customer_Tracker'!$A:$A,0)),"")</f>
        <v/>
      </c>
    </row>
    <row r="133">
      <c r="A133" s="4" t="inlineStr">
        <is>
          <t>T0132</t>
        </is>
      </c>
      <c r="B133" s="4" t="inlineStr">
        <is>
          <t>C015</t>
        </is>
      </c>
      <c r="C133" s="4" t="inlineStr">
        <is>
          <t>Attendance &amp; Leave Config</t>
        </is>
      </c>
      <c r="D133" s="4" t="inlineStr">
        <is>
          <t>Payroll Ops</t>
        </is>
      </c>
      <c r="E133" s="5" t="n">
        <v>46270</v>
      </c>
      <c r="F133" s="4" t="inlineStr">
        <is>
          <t>Pending</t>
        </is>
      </c>
      <c r="G133" s="4">
        <f>IFERROR(INDEX('01_Customer_Tracker'!$B:$B,MATCH(B133,'01_Customer_Tracker'!$A:$A,0)),"")</f>
        <v/>
      </c>
    </row>
    <row r="134">
      <c r="A134" s="4" t="inlineStr">
        <is>
          <t>T0133</t>
        </is>
      </c>
      <c r="B134" s="4" t="inlineStr">
        <is>
          <t>C015</t>
        </is>
      </c>
      <c r="C134" s="4" t="inlineStr">
        <is>
          <t>Salary Structure Mapping</t>
        </is>
      </c>
      <c r="D134" s="4" t="inlineStr">
        <is>
          <t>Payroll Ops</t>
        </is>
      </c>
      <c r="E134" s="5" t="n">
        <v>46273</v>
      </c>
      <c r="F134" s="4" t="inlineStr">
        <is>
          <t>Pending</t>
        </is>
      </c>
      <c r="G134" s="4">
        <f>IFERROR(INDEX('01_Customer_Tracker'!$B:$B,MATCH(B134,'01_Customer_Tracker'!$A:$A,0)),"")</f>
        <v/>
      </c>
    </row>
    <row r="135">
      <c r="A135" s="4" t="inlineStr">
        <is>
          <t>T0134</t>
        </is>
      </c>
      <c r="B135" s="4" t="inlineStr">
        <is>
          <t>C015</t>
        </is>
      </c>
      <c r="C135" s="4" t="inlineStr">
        <is>
          <t>Pre-run Reconciliation</t>
        </is>
      </c>
      <c r="D135" s="4" t="inlineStr">
        <is>
          <t>Payroll Ops</t>
        </is>
      </c>
      <c r="E135" s="5" t="n">
        <v>46278</v>
      </c>
      <c r="F135" s="4" t="inlineStr">
        <is>
          <t>Pending</t>
        </is>
      </c>
      <c r="G135" s="4">
        <f>IFERROR(INDEX('01_Customer_Tracker'!$B:$B,MATCH(B135,'01_Customer_Tracker'!$A:$A,0)),"")</f>
        <v/>
      </c>
    </row>
    <row r="136">
      <c r="A136" s="4" t="inlineStr">
        <is>
          <t>T0135</t>
        </is>
      </c>
      <c r="B136" s="4" t="inlineStr">
        <is>
          <t>C015</t>
        </is>
      </c>
      <c r="C136" s="4" t="inlineStr">
        <is>
          <t>Customer Approval Sign-off</t>
        </is>
      </c>
      <c r="D136" s="4" t="inlineStr">
        <is>
          <t>Customer</t>
        </is>
      </c>
      <c r="E136" s="5" t="n">
        <v>46282</v>
      </c>
      <c r="F136" s="4" t="inlineStr">
        <is>
          <t>Pending</t>
        </is>
      </c>
      <c r="G136" s="4">
        <f>IFERROR(INDEX('01_Customer_Tracker'!$B:$B,MATCH(B136,'01_Customer_Tracker'!$A:$A,0)),"")</f>
        <v/>
      </c>
    </row>
    <row r="137">
      <c r="A137" s="4" t="inlineStr">
        <is>
          <t>T0136</t>
        </is>
      </c>
      <c r="B137" s="4" t="inlineStr">
        <is>
          <t>C016</t>
        </is>
      </c>
      <c r="C137" s="4" t="inlineStr">
        <is>
          <t>Company Info &amp; KYC</t>
        </is>
      </c>
      <c r="D137" s="4" t="inlineStr">
        <is>
          <t>Customer</t>
        </is>
      </c>
      <c r="E137" s="5" t="n">
        <v>46222</v>
      </c>
      <c r="F137" s="4" t="inlineStr">
        <is>
          <t>Completed</t>
        </is>
      </c>
      <c r="G137" s="4">
        <f>IFERROR(INDEX('01_Customer_Tracker'!$B:$B,MATCH(B137,'01_Customer_Tracker'!$A:$A,0)),"")</f>
        <v/>
      </c>
    </row>
    <row r="138">
      <c r="A138" s="4" t="inlineStr">
        <is>
          <t>T0137</t>
        </is>
      </c>
      <c r="B138" s="4" t="inlineStr">
        <is>
          <t>C016</t>
        </is>
      </c>
      <c r="C138" s="4" t="inlineStr">
        <is>
          <t>Document Collection</t>
        </is>
      </c>
      <c r="D138" s="4" t="inlineStr">
        <is>
          <t>Customer</t>
        </is>
      </c>
      <c r="E138" s="5" t="n">
        <v>46225</v>
      </c>
      <c r="F138" s="4" t="inlineStr">
        <is>
          <t>Completed</t>
        </is>
      </c>
      <c r="G138" s="4">
        <f>IFERROR(INDEX('01_Customer_Tracker'!$B:$B,MATCH(B138,'01_Customer_Tracker'!$A:$A,0)),"")</f>
        <v/>
      </c>
    </row>
    <row r="139">
      <c r="A139" s="4" t="inlineStr">
        <is>
          <t>T0138</t>
        </is>
      </c>
      <c r="B139" s="4" t="inlineStr">
        <is>
          <t>C016</t>
        </is>
      </c>
      <c r="C139" s="4" t="inlineStr">
        <is>
          <t>Employee Data Upload</t>
        </is>
      </c>
      <c r="D139" s="4" t="inlineStr">
        <is>
          <t>Customer</t>
        </is>
      </c>
      <c r="E139" s="5" t="n">
        <v>46229</v>
      </c>
      <c r="F139" s="4" t="inlineStr">
        <is>
          <t>Completed</t>
        </is>
      </c>
      <c r="G139" s="4">
        <f>IFERROR(INDEX('01_Customer_Tracker'!$B:$B,MATCH(B139,'01_Customer_Tracker'!$A:$A,0)),"")</f>
        <v/>
      </c>
    </row>
    <row r="140">
      <c r="A140" s="4" t="inlineStr">
        <is>
          <t>T0139</t>
        </is>
      </c>
      <c r="B140" s="4" t="inlineStr">
        <is>
          <t>C016</t>
        </is>
      </c>
      <c r="C140" s="4" t="inlineStr">
        <is>
          <t>Bank Details Verification</t>
        </is>
      </c>
      <c r="D140" s="4" t="inlineStr">
        <is>
          <t>Ops</t>
        </is>
      </c>
      <c r="E140" s="5" t="n">
        <v>46233</v>
      </c>
      <c r="F140" s="4" t="inlineStr">
        <is>
          <t>In Progress</t>
        </is>
      </c>
      <c r="G140" s="4">
        <f>IFERROR(INDEX('01_Customer_Tracker'!$B:$B,MATCH(B140,'01_Customer_Tracker'!$A:$A,0)),"")</f>
        <v/>
      </c>
    </row>
    <row r="141">
      <c r="A141" s="4" t="inlineStr">
        <is>
          <t>T0140</t>
        </is>
      </c>
      <c r="B141" s="4" t="inlineStr">
        <is>
          <t>C016</t>
        </is>
      </c>
      <c r="C141" s="4" t="inlineStr">
        <is>
          <t>PAN / UAN Verification</t>
        </is>
      </c>
      <c r="D141" s="4" t="inlineStr">
        <is>
          <t>Ops</t>
        </is>
      </c>
      <c r="E141" s="5" t="n">
        <v>46235</v>
      </c>
      <c r="F141" s="4" t="inlineStr">
        <is>
          <t>Pending</t>
        </is>
      </c>
      <c r="G141" s="4">
        <f>IFERROR(INDEX('01_Customer_Tracker'!$B:$B,MATCH(B141,'01_Customer_Tracker'!$A:$A,0)),"")</f>
        <v/>
      </c>
    </row>
    <row r="142">
      <c r="A142" s="4" t="inlineStr">
        <is>
          <t>T0141</t>
        </is>
      </c>
      <c r="B142" s="4" t="inlineStr">
        <is>
          <t>C016</t>
        </is>
      </c>
      <c r="C142" s="4" t="inlineStr">
        <is>
          <t>Attendance &amp; Leave Config</t>
        </is>
      </c>
      <c r="D142" s="4" t="inlineStr">
        <is>
          <t>Payroll Ops</t>
        </is>
      </c>
      <c r="E142" s="5" t="n">
        <v>46239</v>
      </c>
      <c r="F142" s="4" t="inlineStr">
        <is>
          <t>Pending</t>
        </is>
      </c>
      <c r="G142" s="4">
        <f>IFERROR(INDEX('01_Customer_Tracker'!$B:$B,MATCH(B142,'01_Customer_Tracker'!$A:$A,0)),"")</f>
        <v/>
      </c>
    </row>
    <row r="143">
      <c r="A143" s="4" t="inlineStr">
        <is>
          <t>T0142</t>
        </is>
      </c>
      <c r="B143" s="4" t="inlineStr">
        <is>
          <t>C016</t>
        </is>
      </c>
      <c r="C143" s="4" t="inlineStr">
        <is>
          <t>Salary Structure Mapping</t>
        </is>
      </c>
      <c r="D143" s="4" t="inlineStr">
        <is>
          <t>Payroll Ops</t>
        </is>
      </c>
      <c r="E143" s="5" t="n">
        <v>46242</v>
      </c>
      <c r="F143" s="4" t="inlineStr">
        <is>
          <t>Pending</t>
        </is>
      </c>
      <c r="G143" s="4">
        <f>IFERROR(INDEX('01_Customer_Tracker'!$B:$B,MATCH(B143,'01_Customer_Tracker'!$A:$A,0)),"")</f>
        <v/>
      </c>
    </row>
    <row r="144">
      <c r="A144" s="4" t="inlineStr">
        <is>
          <t>T0143</t>
        </is>
      </c>
      <c r="B144" s="4" t="inlineStr">
        <is>
          <t>C016</t>
        </is>
      </c>
      <c r="C144" s="4" t="inlineStr">
        <is>
          <t>Pre-run Reconciliation</t>
        </is>
      </c>
      <c r="D144" s="4" t="inlineStr">
        <is>
          <t>Payroll Ops</t>
        </is>
      </c>
      <c r="E144" s="5" t="n">
        <v>46247</v>
      </c>
      <c r="F144" s="4" t="inlineStr">
        <is>
          <t>Pending</t>
        </is>
      </c>
      <c r="G144" s="4">
        <f>IFERROR(INDEX('01_Customer_Tracker'!$B:$B,MATCH(B144,'01_Customer_Tracker'!$A:$A,0)),"")</f>
        <v/>
      </c>
    </row>
    <row r="145">
      <c r="A145" s="4" t="inlineStr">
        <is>
          <t>T0144</t>
        </is>
      </c>
      <c r="B145" s="4" t="inlineStr">
        <is>
          <t>C016</t>
        </is>
      </c>
      <c r="C145" s="4" t="inlineStr">
        <is>
          <t>Customer Approval Sign-off</t>
        </is>
      </c>
      <c r="D145" s="4" t="inlineStr">
        <is>
          <t>Customer</t>
        </is>
      </c>
      <c r="E145" s="5" t="n">
        <v>46251</v>
      </c>
      <c r="F145" s="4" t="inlineStr">
        <is>
          <t>Pending</t>
        </is>
      </c>
      <c r="G145" s="4">
        <f>IFERROR(INDEX('01_Customer_Tracker'!$B:$B,MATCH(B145,'01_Customer_Tracker'!$A:$A,0)),"")</f>
        <v/>
      </c>
    </row>
    <row r="146">
      <c r="A146" s="4" t="inlineStr">
        <is>
          <t>T0145</t>
        </is>
      </c>
      <c r="B146" s="4" t="inlineStr">
        <is>
          <t>C017</t>
        </is>
      </c>
      <c r="C146" s="4" t="inlineStr">
        <is>
          <t>Company Info &amp; KYC</t>
        </is>
      </c>
      <c r="D146" s="4" t="inlineStr">
        <is>
          <t>Customer</t>
        </is>
      </c>
      <c r="E146" s="5" t="n">
        <v>46243</v>
      </c>
      <c r="F146" s="4" t="inlineStr">
        <is>
          <t>Completed</t>
        </is>
      </c>
      <c r="G146" s="4">
        <f>IFERROR(INDEX('01_Customer_Tracker'!$B:$B,MATCH(B146,'01_Customer_Tracker'!$A:$A,0)),"")</f>
        <v/>
      </c>
    </row>
    <row r="147">
      <c r="A147" s="4" t="inlineStr">
        <is>
          <t>T0146</t>
        </is>
      </c>
      <c r="B147" s="4" t="inlineStr">
        <is>
          <t>C017</t>
        </is>
      </c>
      <c r="C147" s="4" t="inlineStr">
        <is>
          <t>Document Collection</t>
        </is>
      </c>
      <c r="D147" s="4" t="inlineStr">
        <is>
          <t>Customer</t>
        </is>
      </c>
      <c r="E147" s="5" t="n">
        <v>46246</v>
      </c>
      <c r="F147" s="4" t="inlineStr">
        <is>
          <t>Completed</t>
        </is>
      </c>
      <c r="G147" s="4">
        <f>IFERROR(INDEX('01_Customer_Tracker'!$B:$B,MATCH(B147,'01_Customer_Tracker'!$A:$A,0)),"")</f>
        <v/>
      </c>
    </row>
    <row r="148">
      <c r="A148" s="4" t="inlineStr">
        <is>
          <t>T0147</t>
        </is>
      </c>
      <c r="B148" s="4" t="inlineStr">
        <is>
          <t>C017</t>
        </is>
      </c>
      <c r="C148" s="4" t="inlineStr">
        <is>
          <t>Employee Data Upload</t>
        </is>
      </c>
      <c r="D148" s="4" t="inlineStr">
        <is>
          <t>Customer</t>
        </is>
      </c>
      <c r="E148" s="5" t="n">
        <v>46250</v>
      </c>
      <c r="F148" s="4" t="inlineStr">
        <is>
          <t>Completed</t>
        </is>
      </c>
      <c r="G148" s="4">
        <f>IFERROR(INDEX('01_Customer_Tracker'!$B:$B,MATCH(B148,'01_Customer_Tracker'!$A:$A,0)),"")</f>
        <v/>
      </c>
    </row>
    <row r="149">
      <c r="A149" s="4" t="inlineStr">
        <is>
          <t>T0148</t>
        </is>
      </c>
      <c r="B149" s="4" t="inlineStr">
        <is>
          <t>C017</t>
        </is>
      </c>
      <c r="C149" s="4" t="inlineStr">
        <is>
          <t>Bank Details Verification</t>
        </is>
      </c>
      <c r="D149" s="4" t="inlineStr">
        <is>
          <t>Ops</t>
        </is>
      </c>
      <c r="E149" s="5" t="n">
        <v>46254</v>
      </c>
      <c r="F149" s="4" t="inlineStr">
        <is>
          <t>Completed</t>
        </is>
      </c>
      <c r="G149" s="4">
        <f>IFERROR(INDEX('01_Customer_Tracker'!$B:$B,MATCH(B149,'01_Customer_Tracker'!$A:$A,0)),"")</f>
        <v/>
      </c>
    </row>
    <row r="150">
      <c r="A150" s="4" t="inlineStr">
        <is>
          <t>T0149</t>
        </is>
      </c>
      <c r="B150" s="4" t="inlineStr">
        <is>
          <t>C017</t>
        </is>
      </c>
      <c r="C150" s="4" t="inlineStr">
        <is>
          <t>PAN / UAN Verification</t>
        </is>
      </c>
      <c r="D150" s="4" t="inlineStr">
        <is>
          <t>Ops</t>
        </is>
      </c>
      <c r="E150" s="5" t="n">
        <v>46256</v>
      </c>
      <c r="F150" s="4" t="inlineStr">
        <is>
          <t>Completed</t>
        </is>
      </c>
      <c r="G150" s="4">
        <f>IFERROR(INDEX('01_Customer_Tracker'!$B:$B,MATCH(B150,'01_Customer_Tracker'!$A:$A,0)),"")</f>
        <v/>
      </c>
    </row>
    <row r="151">
      <c r="A151" s="4" t="inlineStr">
        <is>
          <t>T0150</t>
        </is>
      </c>
      <c r="B151" s="4" t="inlineStr">
        <is>
          <t>C017</t>
        </is>
      </c>
      <c r="C151" s="4" t="inlineStr">
        <is>
          <t>Attendance &amp; Leave Config</t>
        </is>
      </c>
      <c r="D151" s="4" t="inlineStr">
        <is>
          <t>Payroll Ops</t>
        </is>
      </c>
      <c r="E151" s="5" t="n">
        <v>46260</v>
      </c>
      <c r="F151" s="4" t="inlineStr">
        <is>
          <t>Completed</t>
        </is>
      </c>
      <c r="G151" s="4">
        <f>IFERROR(INDEX('01_Customer_Tracker'!$B:$B,MATCH(B151,'01_Customer_Tracker'!$A:$A,0)),"")</f>
        <v/>
      </c>
    </row>
    <row r="152">
      <c r="A152" s="4" t="inlineStr">
        <is>
          <t>T0151</t>
        </is>
      </c>
      <c r="B152" s="4" t="inlineStr">
        <is>
          <t>C017</t>
        </is>
      </c>
      <c r="C152" s="4" t="inlineStr">
        <is>
          <t>Salary Structure Mapping</t>
        </is>
      </c>
      <c r="D152" s="4" t="inlineStr">
        <is>
          <t>Payroll Ops</t>
        </is>
      </c>
      <c r="E152" s="5" t="n">
        <v>46263</v>
      </c>
      <c r="F152" s="4" t="inlineStr">
        <is>
          <t>Completed</t>
        </is>
      </c>
      <c r="G152" s="4">
        <f>IFERROR(INDEX('01_Customer_Tracker'!$B:$B,MATCH(B152,'01_Customer_Tracker'!$A:$A,0)),"")</f>
        <v/>
      </c>
    </row>
    <row r="153">
      <c r="A153" s="4" t="inlineStr">
        <is>
          <t>T0152</t>
        </is>
      </c>
      <c r="B153" s="4" t="inlineStr">
        <is>
          <t>C017</t>
        </is>
      </c>
      <c r="C153" s="4" t="inlineStr">
        <is>
          <t>Pre-run Reconciliation</t>
        </is>
      </c>
      <c r="D153" s="4" t="inlineStr">
        <is>
          <t>Payroll Ops</t>
        </is>
      </c>
      <c r="E153" s="5" t="n">
        <v>46268</v>
      </c>
      <c r="F153" s="4" t="inlineStr">
        <is>
          <t>Completed</t>
        </is>
      </c>
      <c r="G153" s="4">
        <f>IFERROR(INDEX('01_Customer_Tracker'!$B:$B,MATCH(B153,'01_Customer_Tracker'!$A:$A,0)),"")</f>
        <v/>
      </c>
    </row>
    <row r="154">
      <c r="A154" s="4" t="inlineStr">
        <is>
          <t>T0153</t>
        </is>
      </c>
      <c r="B154" s="4" t="inlineStr">
        <is>
          <t>C017</t>
        </is>
      </c>
      <c r="C154" s="4" t="inlineStr">
        <is>
          <t>Customer Approval Sign-off</t>
        </is>
      </c>
      <c r="D154" s="4" t="inlineStr">
        <is>
          <t>Customer</t>
        </is>
      </c>
      <c r="E154" s="5" t="n">
        <v>46272</v>
      </c>
      <c r="F154" s="4" t="inlineStr">
        <is>
          <t>Pending</t>
        </is>
      </c>
      <c r="G154" s="4">
        <f>IFERROR(INDEX('01_Customer_Tracker'!$B:$B,MATCH(B154,'01_Customer_Tracker'!$A:$A,0)),"")</f>
        <v/>
      </c>
    </row>
    <row r="155">
      <c r="A155" s="4" t="inlineStr">
        <is>
          <t>T0154</t>
        </is>
      </c>
      <c r="B155" s="4" t="inlineStr">
        <is>
          <t>C018</t>
        </is>
      </c>
      <c r="C155" s="4" t="inlineStr">
        <is>
          <t>Company Info &amp; KYC</t>
        </is>
      </c>
      <c r="D155" s="4" t="inlineStr">
        <is>
          <t>Customer</t>
        </is>
      </c>
      <c r="E155" s="5" t="n">
        <v>46254</v>
      </c>
      <c r="F155" s="4" t="inlineStr">
        <is>
          <t>Completed</t>
        </is>
      </c>
      <c r="G155" s="4">
        <f>IFERROR(INDEX('01_Customer_Tracker'!$B:$B,MATCH(B155,'01_Customer_Tracker'!$A:$A,0)),"")</f>
        <v/>
      </c>
    </row>
    <row r="156">
      <c r="A156" s="4" t="inlineStr">
        <is>
          <t>T0155</t>
        </is>
      </c>
      <c r="B156" s="4" t="inlineStr">
        <is>
          <t>C018</t>
        </is>
      </c>
      <c r="C156" s="4" t="inlineStr">
        <is>
          <t>Document Collection</t>
        </is>
      </c>
      <c r="D156" s="4" t="inlineStr">
        <is>
          <t>Customer</t>
        </is>
      </c>
      <c r="E156" s="5" t="n">
        <v>46257</v>
      </c>
      <c r="F156" s="4" t="inlineStr">
        <is>
          <t>Pending</t>
        </is>
      </c>
      <c r="G156" s="4">
        <f>IFERROR(INDEX('01_Customer_Tracker'!$B:$B,MATCH(B156,'01_Customer_Tracker'!$A:$A,0)),"")</f>
        <v/>
      </c>
    </row>
    <row r="157">
      <c r="A157" s="4" t="inlineStr">
        <is>
          <t>T0156</t>
        </is>
      </c>
      <c r="B157" s="4" t="inlineStr">
        <is>
          <t>C018</t>
        </is>
      </c>
      <c r="C157" s="4" t="inlineStr">
        <is>
          <t>Employee Data Upload</t>
        </is>
      </c>
      <c r="D157" s="4" t="inlineStr">
        <is>
          <t>Customer</t>
        </is>
      </c>
      <c r="E157" s="5" t="n">
        <v>46261</v>
      </c>
      <c r="F157" s="4" t="inlineStr">
        <is>
          <t>Pending</t>
        </is>
      </c>
      <c r="G157" s="4">
        <f>IFERROR(INDEX('01_Customer_Tracker'!$B:$B,MATCH(B157,'01_Customer_Tracker'!$A:$A,0)),"")</f>
        <v/>
      </c>
    </row>
    <row r="158">
      <c r="A158" s="4" t="inlineStr">
        <is>
          <t>T0157</t>
        </is>
      </c>
      <c r="B158" s="4" t="inlineStr">
        <is>
          <t>C018</t>
        </is>
      </c>
      <c r="C158" s="4" t="inlineStr">
        <is>
          <t>Bank Details Verification</t>
        </is>
      </c>
      <c r="D158" s="4" t="inlineStr">
        <is>
          <t>Ops</t>
        </is>
      </c>
      <c r="E158" s="5" t="n">
        <v>46265</v>
      </c>
      <c r="F158" s="4" t="inlineStr">
        <is>
          <t>Pending</t>
        </is>
      </c>
      <c r="G158" s="4">
        <f>IFERROR(INDEX('01_Customer_Tracker'!$B:$B,MATCH(B158,'01_Customer_Tracker'!$A:$A,0)),"")</f>
        <v/>
      </c>
    </row>
    <row r="159">
      <c r="A159" s="4" t="inlineStr">
        <is>
          <t>T0158</t>
        </is>
      </c>
      <c r="B159" s="4" t="inlineStr">
        <is>
          <t>C018</t>
        </is>
      </c>
      <c r="C159" s="4" t="inlineStr">
        <is>
          <t>PAN / UAN Verification</t>
        </is>
      </c>
      <c r="D159" s="4" t="inlineStr">
        <is>
          <t>Ops</t>
        </is>
      </c>
      <c r="E159" s="5" t="n">
        <v>46267</v>
      </c>
      <c r="F159" s="4" t="inlineStr">
        <is>
          <t>Pending</t>
        </is>
      </c>
      <c r="G159" s="4">
        <f>IFERROR(INDEX('01_Customer_Tracker'!$B:$B,MATCH(B159,'01_Customer_Tracker'!$A:$A,0)),"")</f>
        <v/>
      </c>
    </row>
    <row r="160">
      <c r="A160" s="4" t="inlineStr">
        <is>
          <t>T0159</t>
        </is>
      </c>
      <c r="B160" s="4" t="inlineStr">
        <is>
          <t>C018</t>
        </is>
      </c>
      <c r="C160" s="4" t="inlineStr">
        <is>
          <t>Attendance &amp; Leave Config</t>
        </is>
      </c>
      <c r="D160" s="4" t="inlineStr">
        <is>
          <t>Payroll Ops</t>
        </is>
      </c>
      <c r="E160" s="5" t="n">
        <v>46271</v>
      </c>
      <c r="F160" s="4" t="inlineStr">
        <is>
          <t>Pending</t>
        </is>
      </c>
      <c r="G160" s="4">
        <f>IFERROR(INDEX('01_Customer_Tracker'!$B:$B,MATCH(B160,'01_Customer_Tracker'!$A:$A,0)),"")</f>
        <v/>
      </c>
    </row>
    <row r="161">
      <c r="A161" s="4" t="inlineStr">
        <is>
          <t>T0160</t>
        </is>
      </c>
      <c r="B161" s="4" t="inlineStr">
        <is>
          <t>C018</t>
        </is>
      </c>
      <c r="C161" s="4" t="inlineStr">
        <is>
          <t>Salary Structure Mapping</t>
        </is>
      </c>
      <c r="D161" s="4" t="inlineStr">
        <is>
          <t>Payroll Ops</t>
        </is>
      </c>
      <c r="E161" s="5" t="n">
        <v>46274</v>
      </c>
      <c r="F161" s="4" t="inlineStr">
        <is>
          <t>Pending</t>
        </is>
      </c>
      <c r="G161" s="4">
        <f>IFERROR(INDEX('01_Customer_Tracker'!$B:$B,MATCH(B161,'01_Customer_Tracker'!$A:$A,0)),"")</f>
        <v/>
      </c>
    </row>
    <row r="162">
      <c r="A162" s="4" t="inlineStr">
        <is>
          <t>T0161</t>
        </is>
      </c>
      <c r="B162" s="4" t="inlineStr">
        <is>
          <t>C018</t>
        </is>
      </c>
      <c r="C162" s="4" t="inlineStr">
        <is>
          <t>Pre-run Reconciliation</t>
        </is>
      </c>
      <c r="D162" s="4" t="inlineStr">
        <is>
          <t>Payroll Ops</t>
        </is>
      </c>
      <c r="E162" s="5" t="n">
        <v>46279</v>
      </c>
      <c r="F162" s="4" t="inlineStr">
        <is>
          <t>Pending</t>
        </is>
      </c>
      <c r="G162" s="4">
        <f>IFERROR(INDEX('01_Customer_Tracker'!$B:$B,MATCH(B162,'01_Customer_Tracker'!$A:$A,0)),"")</f>
        <v/>
      </c>
    </row>
    <row r="163">
      <c r="A163" s="4" t="inlineStr">
        <is>
          <t>T0162</t>
        </is>
      </c>
      <c r="B163" s="4" t="inlineStr">
        <is>
          <t>C018</t>
        </is>
      </c>
      <c r="C163" s="4" t="inlineStr">
        <is>
          <t>Customer Approval Sign-off</t>
        </is>
      </c>
      <c r="D163" s="4" t="inlineStr">
        <is>
          <t>Customer</t>
        </is>
      </c>
      <c r="E163" s="5" t="n">
        <v>46283</v>
      </c>
      <c r="F163" s="4" t="inlineStr">
        <is>
          <t>Pending</t>
        </is>
      </c>
      <c r="G163" s="4">
        <f>IFERROR(INDEX('01_Customer_Tracker'!$B:$B,MATCH(B163,'01_Customer_Tracker'!$A:$A,0)),"")</f>
        <v/>
      </c>
    </row>
    <row r="164">
      <c r="A164" s="4" t="inlineStr">
        <is>
          <t>T0163</t>
        </is>
      </c>
      <c r="B164" s="4" t="inlineStr">
        <is>
          <t>C019</t>
        </is>
      </c>
      <c r="C164" s="4" t="inlineStr">
        <is>
          <t>Company Info &amp; KYC</t>
        </is>
      </c>
      <c r="D164" s="4" t="inlineStr">
        <is>
          <t>Customer</t>
        </is>
      </c>
      <c r="E164" s="5" t="n">
        <v>46215</v>
      </c>
      <c r="F164" s="4" t="inlineStr">
        <is>
          <t>Completed</t>
        </is>
      </c>
      <c r="G164" s="4">
        <f>IFERROR(INDEX('01_Customer_Tracker'!$B:$B,MATCH(B164,'01_Customer_Tracker'!$A:$A,0)),"")</f>
        <v/>
      </c>
    </row>
    <row r="165">
      <c r="A165" s="4" t="inlineStr">
        <is>
          <t>T0164</t>
        </is>
      </c>
      <c r="B165" s="4" t="inlineStr">
        <is>
          <t>C019</t>
        </is>
      </c>
      <c r="C165" s="4" t="inlineStr">
        <is>
          <t>Document Collection</t>
        </is>
      </c>
      <c r="D165" s="4" t="inlineStr">
        <is>
          <t>Customer</t>
        </is>
      </c>
      <c r="E165" s="5" t="n">
        <v>46218</v>
      </c>
      <c r="F165" s="4" t="inlineStr">
        <is>
          <t>Completed</t>
        </is>
      </c>
      <c r="G165" s="4">
        <f>IFERROR(INDEX('01_Customer_Tracker'!$B:$B,MATCH(B165,'01_Customer_Tracker'!$A:$A,0)),"")</f>
        <v/>
      </c>
    </row>
    <row r="166">
      <c r="A166" s="4" t="inlineStr">
        <is>
          <t>T0165</t>
        </is>
      </c>
      <c r="B166" s="4" t="inlineStr">
        <is>
          <t>C019</t>
        </is>
      </c>
      <c r="C166" s="4" t="inlineStr">
        <is>
          <t>Employee Data Upload</t>
        </is>
      </c>
      <c r="D166" s="4" t="inlineStr">
        <is>
          <t>Customer</t>
        </is>
      </c>
      <c r="E166" s="5" t="n">
        <v>46222</v>
      </c>
      <c r="F166" s="4" t="inlineStr">
        <is>
          <t>Completed</t>
        </is>
      </c>
      <c r="G166" s="4">
        <f>IFERROR(INDEX('01_Customer_Tracker'!$B:$B,MATCH(B166,'01_Customer_Tracker'!$A:$A,0)),"")</f>
        <v/>
      </c>
    </row>
    <row r="167">
      <c r="A167" s="4" t="inlineStr">
        <is>
          <t>T0166</t>
        </is>
      </c>
      <c r="B167" s="4" t="inlineStr">
        <is>
          <t>C019</t>
        </is>
      </c>
      <c r="C167" s="4" t="inlineStr">
        <is>
          <t>Bank Details Verification</t>
        </is>
      </c>
      <c r="D167" s="4" t="inlineStr">
        <is>
          <t>Ops</t>
        </is>
      </c>
      <c r="E167" s="5" t="n">
        <v>46226</v>
      </c>
      <c r="F167" s="4" t="inlineStr">
        <is>
          <t>Completed</t>
        </is>
      </c>
      <c r="G167" s="4">
        <f>IFERROR(INDEX('01_Customer_Tracker'!$B:$B,MATCH(B167,'01_Customer_Tracker'!$A:$A,0)),"")</f>
        <v/>
      </c>
    </row>
    <row r="168">
      <c r="A168" s="4" t="inlineStr">
        <is>
          <t>T0167</t>
        </is>
      </c>
      <c r="B168" s="4" t="inlineStr">
        <is>
          <t>C019</t>
        </is>
      </c>
      <c r="C168" s="4" t="inlineStr">
        <is>
          <t>PAN / UAN Verification</t>
        </is>
      </c>
      <c r="D168" s="4" t="inlineStr">
        <is>
          <t>Ops</t>
        </is>
      </c>
      <c r="E168" s="5" t="n">
        <v>46228</v>
      </c>
      <c r="F168" s="4" t="inlineStr">
        <is>
          <t>Completed</t>
        </is>
      </c>
      <c r="G168" s="4">
        <f>IFERROR(INDEX('01_Customer_Tracker'!$B:$B,MATCH(B168,'01_Customer_Tracker'!$A:$A,0)),"")</f>
        <v/>
      </c>
    </row>
    <row r="169">
      <c r="A169" s="4" t="inlineStr">
        <is>
          <t>T0168</t>
        </is>
      </c>
      <c r="B169" s="4" t="inlineStr">
        <is>
          <t>C019</t>
        </is>
      </c>
      <c r="C169" s="4" t="inlineStr">
        <is>
          <t>Attendance &amp; Leave Config</t>
        </is>
      </c>
      <c r="D169" s="4" t="inlineStr">
        <is>
          <t>Payroll Ops</t>
        </is>
      </c>
      <c r="E169" s="5" t="n">
        <v>46232</v>
      </c>
      <c r="F169" s="4" t="inlineStr">
        <is>
          <t>Completed</t>
        </is>
      </c>
      <c r="G169" s="4">
        <f>IFERROR(INDEX('01_Customer_Tracker'!$B:$B,MATCH(B169,'01_Customer_Tracker'!$A:$A,0)),"")</f>
        <v/>
      </c>
    </row>
    <row r="170">
      <c r="A170" s="4" t="inlineStr">
        <is>
          <t>T0169</t>
        </is>
      </c>
      <c r="B170" s="4" t="inlineStr">
        <is>
          <t>C019</t>
        </is>
      </c>
      <c r="C170" s="4" t="inlineStr">
        <is>
          <t>Salary Structure Mapping</t>
        </is>
      </c>
      <c r="D170" s="4" t="inlineStr">
        <is>
          <t>Payroll Ops</t>
        </is>
      </c>
      <c r="E170" s="5" t="n">
        <v>46235</v>
      </c>
      <c r="F170" s="4" t="inlineStr">
        <is>
          <t>Completed</t>
        </is>
      </c>
      <c r="G170" s="4">
        <f>IFERROR(INDEX('01_Customer_Tracker'!$B:$B,MATCH(B170,'01_Customer_Tracker'!$A:$A,0)),"")</f>
        <v/>
      </c>
    </row>
    <row r="171">
      <c r="A171" s="4" t="inlineStr">
        <is>
          <t>T0170</t>
        </is>
      </c>
      <c r="B171" s="4" t="inlineStr">
        <is>
          <t>C019</t>
        </is>
      </c>
      <c r="C171" s="4" t="inlineStr">
        <is>
          <t>Pre-run Reconciliation</t>
        </is>
      </c>
      <c r="D171" s="4" t="inlineStr">
        <is>
          <t>Payroll Ops</t>
        </is>
      </c>
      <c r="E171" s="5" t="n">
        <v>46240</v>
      </c>
      <c r="F171" s="4" t="inlineStr">
        <is>
          <t>Completed</t>
        </is>
      </c>
      <c r="G171" s="4">
        <f>IFERROR(INDEX('01_Customer_Tracker'!$B:$B,MATCH(B171,'01_Customer_Tracker'!$A:$A,0)),"")</f>
        <v/>
      </c>
    </row>
    <row r="172">
      <c r="A172" s="4" t="inlineStr">
        <is>
          <t>T0171</t>
        </is>
      </c>
      <c r="B172" s="4" t="inlineStr">
        <is>
          <t>C019</t>
        </is>
      </c>
      <c r="C172" s="4" t="inlineStr">
        <is>
          <t>Customer Approval Sign-off</t>
        </is>
      </c>
      <c r="D172" s="4" t="inlineStr">
        <is>
          <t>Customer</t>
        </is>
      </c>
      <c r="E172" s="5" t="n">
        <v>46244</v>
      </c>
      <c r="F172" s="4" t="inlineStr">
        <is>
          <t>In Progress</t>
        </is>
      </c>
      <c r="G172" s="4">
        <f>IFERROR(INDEX('01_Customer_Tracker'!$B:$B,MATCH(B172,'01_Customer_Tracker'!$A:$A,0)),"")</f>
        <v/>
      </c>
    </row>
    <row r="173">
      <c r="A173" s="4" t="inlineStr">
        <is>
          <t>T0172</t>
        </is>
      </c>
      <c r="B173" s="4" t="inlineStr">
        <is>
          <t>C020</t>
        </is>
      </c>
      <c r="C173" s="4" t="inlineStr">
        <is>
          <t>Company Info &amp; KYC</t>
        </is>
      </c>
      <c r="D173" s="4" t="inlineStr">
        <is>
          <t>Customer</t>
        </is>
      </c>
      <c r="E173" s="5" t="n">
        <v>46231</v>
      </c>
      <c r="F173" s="4" t="inlineStr">
        <is>
          <t>Completed</t>
        </is>
      </c>
      <c r="G173" s="4">
        <f>IFERROR(INDEX('01_Customer_Tracker'!$B:$B,MATCH(B173,'01_Customer_Tracker'!$A:$A,0)),"")</f>
        <v/>
      </c>
    </row>
    <row r="174">
      <c r="A174" s="4" t="inlineStr">
        <is>
          <t>T0173</t>
        </is>
      </c>
      <c r="B174" s="4" t="inlineStr">
        <is>
          <t>C020</t>
        </is>
      </c>
      <c r="C174" s="4" t="inlineStr">
        <is>
          <t>Document Collection</t>
        </is>
      </c>
      <c r="D174" s="4" t="inlineStr">
        <is>
          <t>Customer</t>
        </is>
      </c>
      <c r="E174" s="5" t="n">
        <v>46234</v>
      </c>
      <c r="F174" s="4" t="inlineStr">
        <is>
          <t>Completed</t>
        </is>
      </c>
      <c r="G174" s="4">
        <f>IFERROR(INDEX('01_Customer_Tracker'!$B:$B,MATCH(B174,'01_Customer_Tracker'!$A:$A,0)),"")</f>
        <v/>
      </c>
    </row>
    <row r="175">
      <c r="A175" s="4" t="inlineStr">
        <is>
          <t>T0174</t>
        </is>
      </c>
      <c r="B175" s="4" t="inlineStr">
        <is>
          <t>C020</t>
        </is>
      </c>
      <c r="C175" s="4" t="inlineStr">
        <is>
          <t>Employee Data Upload</t>
        </is>
      </c>
      <c r="D175" s="4" t="inlineStr">
        <is>
          <t>Customer</t>
        </is>
      </c>
      <c r="E175" s="5" t="n">
        <v>46238</v>
      </c>
      <c r="F175" s="4" t="inlineStr">
        <is>
          <t>Completed</t>
        </is>
      </c>
      <c r="G175" s="4">
        <f>IFERROR(INDEX('01_Customer_Tracker'!$B:$B,MATCH(B175,'01_Customer_Tracker'!$A:$A,0)),"")</f>
        <v/>
      </c>
    </row>
    <row r="176">
      <c r="A176" s="4" t="inlineStr">
        <is>
          <t>T0175</t>
        </is>
      </c>
      <c r="B176" s="4" t="inlineStr">
        <is>
          <t>C020</t>
        </is>
      </c>
      <c r="C176" s="4" t="inlineStr">
        <is>
          <t>Bank Details Verification</t>
        </is>
      </c>
      <c r="D176" s="4" t="inlineStr">
        <is>
          <t>Ops</t>
        </is>
      </c>
      <c r="E176" s="5" t="n">
        <v>46242</v>
      </c>
      <c r="F176" s="4" t="inlineStr">
        <is>
          <t>Completed</t>
        </is>
      </c>
      <c r="G176" s="4">
        <f>IFERROR(INDEX('01_Customer_Tracker'!$B:$B,MATCH(B176,'01_Customer_Tracker'!$A:$A,0)),"")</f>
        <v/>
      </c>
    </row>
    <row r="177">
      <c r="A177" s="4" t="inlineStr">
        <is>
          <t>T0176</t>
        </is>
      </c>
      <c r="B177" s="4" t="inlineStr">
        <is>
          <t>C020</t>
        </is>
      </c>
      <c r="C177" s="4" t="inlineStr">
        <is>
          <t>PAN / UAN Verification</t>
        </is>
      </c>
      <c r="D177" s="4" t="inlineStr">
        <is>
          <t>Ops</t>
        </is>
      </c>
      <c r="E177" s="5" t="n">
        <v>46244</v>
      </c>
      <c r="F177" s="4" t="inlineStr">
        <is>
          <t>Completed</t>
        </is>
      </c>
      <c r="G177" s="4">
        <f>IFERROR(INDEX('01_Customer_Tracker'!$B:$B,MATCH(B177,'01_Customer_Tracker'!$A:$A,0)),"")</f>
        <v/>
      </c>
    </row>
    <row r="178">
      <c r="A178" s="4" t="inlineStr">
        <is>
          <t>T0177</t>
        </is>
      </c>
      <c r="B178" s="4" t="inlineStr">
        <is>
          <t>C020</t>
        </is>
      </c>
      <c r="C178" s="4" t="inlineStr">
        <is>
          <t>Attendance &amp; Leave Config</t>
        </is>
      </c>
      <c r="D178" s="4" t="inlineStr">
        <is>
          <t>Payroll Ops</t>
        </is>
      </c>
      <c r="E178" s="5" t="n">
        <v>46248</v>
      </c>
      <c r="F178" s="4" t="inlineStr">
        <is>
          <t>In Progress</t>
        </is>
      </c>
      <c r="G178" s="4">
        <f>IFERROR(INDEX('01_Customer_Tracker'!$B:$B,MATCH(B178,'01_Customer_Tracker'!$A:$A,0)),"")</f>
        <v/>
      </c>
    </row>
    <row r="179">
      <c r="A179" s="4" t="inlineStr">
        <is>
          <t>T0178</t>
        </is>
      </c>
      <c r="B179" s="4" t="inlineStr">
        <is>
          <t>C020</t>
        </is>
      </c>
      <c r="C179" s="4" t="inlineStr">
        <is>
          <t>Salary Structure Mapping</t>
        </is>
      </c>
      <c r="D179" s="4" t="inlineStr">
        <is>
          <t>Payroll Ops</t>
        </is>
      </c>
      <c r="E179" s="5" t="n">
        <v>46251</v>
      </c>
      <c r="F179" s="4" t="inlineStr">
        <is>
          <t>Blocked</t>
        </is>
      </c>
      <c r="G179" s="4">
        <f>IFERROR(INDEX('01_Customer_Tracker'!$B:$B,MATCH(B179,'01_Customer_Tracker'!$A:$A,0)),"")</f>
        <v/>
      </c>
    </row>
    <row r="180">
      <c r="A180" s="4" t="inlineStr">
        <is>
          <t>T0179</t>
        </is>
      </c>
      <c r="B180" s="4" t="inlineStr">
        <is>
          <t>C020</t>
        </is>
      </c>
      <c r="C180" s="4" t="inlineStr">
        <is>
          <t>Pre-run Reconciliation</t>
        </is>
      </c>
      <c r="D180" s="4" t="inlineStr">
        <is>
          <t>Payroll Ops</t>
        </is>
      </c>
      <c r="E180" s="5" t="n">
        <v>46256</v>
      </c>
      <c r="F180" s="4" t="inlineStr">
        <is>
          <t>Pending</t>
        </is>
      </c>
      <c r="G180" s="4">
        <f>IFERROR(INDEX('01_Customer_Tracker'!$B:$B,MATCH(B180,'01_Customer_Tracker'!$A:$A,0)),"")</f>
        <v/>
      </c>
    </row>
    <row r="181">
      <c r="A181" s="4" t="inlineStr">
        <is>
          <t>T0180</t>
        </is>
      </c>
      <c r="B181" s="4" t="inlineStr">
        <is>
          <t>C020</t>
        </is>
      </c>
      <c r="C181" s="4" t="inlineStr">
        <is>
          <t>Customer Approval Sign-off</t>
        </is>
      </c>
      <c r="D181" s="4" t="inlineStr">
        <is>
          <t>Customer</t>
        </is>
      </c>
      <c r="E181" s="5" t="n">
        <v>46260</v>
      </c>
      <c r="F181" s="4" t="inlineStr">
        <is>
          <t>Pending</t>
        </is>
      </c>
      <c r="G181" s="4">
        <f>IFERROR(INDEX('01_Customer_Tracker'!$B:$B,MATCH(B181,'01_Customer_Tracker'!$A:$A,0)),"")</f>
        <v/>
      </c>
    </row>
    <row r="182">
      <c r="A182" s="4" t="inlineStr">
        <is>
          <t>T0181</t>
        </is>
      </c>
      <c r="B182" s="4" t="inlineStr">
        <is>
          <t>C021</t>
        </is>
      </c>
      <c r="C182" s="4" t="inlineStr">
        <is>
          <t>Company Info &amp; KYC</t>
        </is>
      </c>
      <c r="D182" s="4" t="inlineStr">
        <is>
          <t>Customer</t>
        </is>
      </c>
      <c r="E182" s="5" t="n">
        <v>46252</v>
      </c>
      <c r="F182" s="4" t="inlineStr">
        <is>
          <t>Completed</t>
        </is>
      </c>
      <c r="G182" s="4">
        <f>IFERROR(INDEX('01_Customer_Tracker'!$B:$B,MATCH(B182,'01_Customer_Tracker'!$A:$A,0)),"")</f>
        <v/>
      </c>
    </row>
    <row r="183">
      <c r="A183" s="4" t="inlineStr">
        <is>
          <t>T0182</t>
        </is>
      </c>
      <c r="B183" s="4" t="inlineStr">
        <is>
          <t>C021</t>
        </is>
      </c>
      <c r="C183" s="4" t="inlineStr">
        <is>
          <t>Document Collection</t>
        </is>
      </c>
      <c r="D183" s="4" t="inlineStr">
        <is>
          <t>Customer</t>
        </is>
      </c>
      <c r="E183" s="5" t="n">
        <v>46255</v>
      </c>
      <c r="F183" s="4" t="inlineStr">
        <is>
          <t>Completed</t>
        </is>
      </c>
      <c r="G183" s="4">
        <f>IFERROR(INDEX('01_Customer_Tracker'!$B:$B,MATCH(B183,'01_Customer_Tracker'!$A:$A,0)),"")</f>
        <v/>
      </c>
    </row>
    <row r="184">
      <c r="A184" s="4" t="inlineStr">
        <is>
          <t>T0183</t>
        </is>
      </c>
      <c r="B184" s="4" t="inlineStr">
        <is>
          <t>C021</t>
        </is>
      </c>
      <c r="C184" s="4" t="inlineStr">
        <is>
          <t>Employee Data Upload</t>
        </is>
      </c>
      <c r="D184" s="4" t="inlineStr">
        <is>
          <t>Customer</t>
        </is>
      </c>
      <c r="E184" s="5" t="n">
        <v>46259</v>
      </c>
      <c r="F184" s="4" t="inlineStr">
        <is>
          <t>Completed</t>
        </is>
      </c>
      <c r="G184" s="4">
        <f>IFERROR(INDEX('01_Customer_Tracker'!$B:$B,MATCH(B184,'01_Customer_Tracker'!$A:$A,0)),"")</f>
        <v/>
      </c>
    </row>
    <row r="185">
      <c r="A185" s="4" t="inlineStr">
        <is>
          <t>T0184</t>
        </is>
      </c>
      <c r="B185" s="4" t="inlineStr">
        <is>
          <t>C021</t>
        </is>
      </c>
      <c r="C185" s="4" t="inlineStr">
        <is>
          <t>Bank Details Verification</t>
        </is>
      </c>
      <c r="D185" s="4" t="inlineStr">
        <is>
          <t>Ops</t>
        </is>
      </c>
      <c r="E185" s="5" t="n">
        <v>46263</v>
      </c>
      <c r="F185" s="4" t="inlineStr">
        <is>
          <t>Completed</t>
        </is>
      </c>
      <c r="G185" s="4">
        <f>IFERROR(INDEX('01_Customer_Tracker'!$B:$B,MATCH(B185,'01_Customer_Tracker'!$A:$A,0)),"")</f>
        <v/>
      </c>
    </row>
    <row r="186">
      <c r="A186" s="4" t="inlineStr">
        <is>
          <t>T0185</t>
        </is>
      </c>
      <c r="B186" s="4" t="inlineStr">
        <is>
          <t>C021</t>
        </is>
      </c>
      <c r="C186" s="4" t="inlineStr">
        <is>
          <t>PAN / UAN Verification</t>
        </is>
      </c>
      <c r="D186" s="4" t="inlineStr">
        <is>
          <t>Ops</t>
        </is>
      </c>
      <c r="E186" s="5" t="n">
        <v>46265</v>
      </c>
      <c r="F186" s="4" t="inlineStr">
        <is>
          <t>Completed</t>
        </is>
      </c>
      <c r="G186" s="4">
        <f>IFERROR(INDEX('01_Customer_Tracker'!$B:$B,MATCH(B186,'01_Customer_Tracker'!$A:$A,0)),"")</f>
        <v/>
      </c>
    </row>
    <row r="187">
      <c r="A187" s="4" t="inlineStr">
        <is>
          <t>T0186</t>
        </is>
      </c>
      <c r="B187" s="4" t="inlineStr">
        <is>
          <t>C021</t>
        </is>
      </c>
      <c r="C187" s="4" t="inlineStr">
        <is>
          <t>Attendance &amp; Leave Config</t>
        </is>
      </c>
      <c r="D187" s="4" t="inlineStr">
        <is>
          <t>Payroll Ops</t>
        </is>
      </c>
      <c r="E187" s="5" t="n">
        <v>46269</v>
      </c>
      <c r="F187" s="4" t="inlineStr">
        <is>
          <t>Completed</t>
        </is>
      </c>
      <c r="G187" s="4">
        <f>IFERROR(INDEX('01_Customer_Tracker'!$B:$B,MATCH(B187,'01_Customer_Tracker'!$A:$A,0)),"")</f>
        <v/>
      </c>
    </row>
    <row r="188">
      <c r="A188" s="4" t="inlineStr">
        <is>
          <t>T0187</t>
        </is>
      </c>
      <c r="B188" s="4" t="inlineStr">
        <is>
          <t>C021</t>
        </is>
      </c>
      <c r="C188" s="4" t="inlineStr">
        <is>
          <t>Salary Structure Mapping</t>
        </is>
      </c>
      <c r="D188" s="4" t="inlineStr">
        <is>
          <t>Payroll Ops</t>
        </is>
      </c>
      <c r="E188" s="5" t="n">
        <v>46272</v>
      </c>
      <c r="F188" s="4" t="inlineStr">
        <is>
          <t>Completed</t>
        </is>
      </c>
      <c r="G188" s="4">
        <f>IFERROR(INDEX('01_Customer_Tracker'!$B:$B,MATCH(B188,'01_Customer_Tracker'!$A:$A,0)),"")</f>
        <v/>
      </c>
    </row>
    <row r="189">
      <c r="A189" s="4" t="inlineStr">
        <is>
          <t>T0188</t>
        </is>
      </c>
      <c r="B189" s="4" t="inlineStr">
        <is>
          <t>C021</t>
        </is>
      </c>
      <c r="C189" s="4" t="inlineStr">
        <is>
          <t>Pre-run Reconciliation</t>
        </is>
      </c>
      <c r="D189" s="4" t="inlineStr">
        <is>
          <t>Payroll Ops</t>
        </is>
      </c>
      <c r="E189" s="5" t="n">
        <v>46277</v>
      </c>
      <c r="F189" s="4" t="inlineStr">
        <is>
          <t>Completed</t>
        </is>
      </c>
      <c r="G189" s="4">
        <f>IFERROR(INDEX('01_Customer_Tracker'!$B:$B,MATCH(B189,'01_Customer_Tracker'!$A:$A,0)),"")</f>
        <v/>
      </c>
    </row>
    <row r="190">
      <c r="A190" s="4" t="inlineStr">
        <is>
          <t>T0189</t>
        </is>
      </c>
      <c r="B190" s="4" t="inlineStr">
        <is>
          <t>C021</t>
        </is>
      </c>
      <c r="C190" s="4" t="inlineStr">
        <is>
          <t>Customer Approval Sign-off</t>
        </is>
      </c>
      <c r="D190" s="4" t="inlineStr">
        <is>
          <t>Customer</t>
        </is>
      </c>
      <c r="E190" s="5" t="n">
        <v>46281</v>
      </c>
      <c r="F190" s="4" t="inlineStr">
        <is>
          <t>In Progress</t>
        </is>
      </c>
      <c r="G190" s="4">
        <f>IFERROR(INDEX('01_Customer_Tracker'!$B:$B,MATCH(B190,'01_Customer_Tracker'!$A:$A,0)),"")</f>
        <v/>
      </c>
    </row>
    <row r="191">
      <c r="A191" s="4" t="inlineStr">
        <is>
          <t>T0190</t>
        </is>
      </c>
      <c r="B191" s="4" t="inlineStr">
        <is>
          <t>C022</t>
        </is>
      </c>
      <c r="C191" s="4" t="inlineStr">
        <is>
          <t>Company Info &amp; KYC</t>
        </is>
      </c>
      <c r="D191" s="4" t="inlineStr">
        <is>
          <t>Customer</t>
        </is>
      </c>
      <c r="E191" s="5" t="n">
        <v>46259</v>
      </c>
      <c r="F191" s="4" t="inlineStr">
        <is>
          <t>Completed</t>
        </is>
      </c>
      <c r="G191" s="4">
        <f>IFERROR(INDEX('01_Customer_Tracker'!$B:$B,MATCH(B191,'01_Customer_Tracker'!$A:$A,0)),"")</f>
        <v/>
      </c>
    </row>
    <row r="192">
      <c r="A192" s="4" t="inlineStr">
        <is>
          <t>T0191</t>
        </is>
      </c>
      <c r="B192" s="4" t="inlineStr">
        <is>
          <t>C022</t>
        </is>
      </c>
      <c r="C192" s="4" t="inlineStr">
        <is>
          <t>Document Collection</t>
        </is>
      </c>
      <c r="D192" s="4" t="inlineStr">
        <is>
          <t>Customer</t>
        </is>
      </c>
      <c r="E192" s="5" t="n">
        <v>46262</v>
      </c>
      <c r="F192" s="4" t="inlineStr">
        <is>
          <t>Completed</t>
        </is>
      </c>
      <c r="G192" s="4">
        <f>IFERROR(INDEX('01_Customer_Tracker'!$B:$B,MATCH(B192,'01_Customer_Tracker'!$A:$A,0)),"")</f>
        <v/>
      </c>
    </row>
    <row r="193">
      <c r="A193" s="4" t="inlineStr">
        <is>
          <t>T0192</t>
        </is>
      </c>
      <c r="B193" s="4" t="inlineStr">
        <is>
          <t>C022</t>
        </is>
      </c>
      <c r="C193" s="4" t="inlineStr">
        <is>
          <t>Employee Data Upload</t>
        </is>
      </c>
      <c r="D193" s="4" t="inlineStr">
        <is>
          <t>Customer</t>
        </is>
      </c>
      <c r="E193" s="5" t="n">
        <v>46266</v>
      </c>
      <c r="F193" s="4" t="inlineStr">
        <is>
          <t>Completed</t>
        </is>
      </c>
      <c r="G193" s="4">
        <f>IFERROR(INDEX('01_Customer_Tracker'!$B:$B,MATCH(B193,'01_Customer_Tracker'!$A:$A,0)),"")</f>
        <v/>
      </c>
    </row>
    <row r="194">
      <c r="A194" s="4" t="inlineStr">
        <is>
          <t>T0193</t>
        </is>
      </c>
      <c r="B194" s="4" t="inlineStr">
        <is>
          <t>C022</t>
        </is>
      </c>
      <c r="C194" s="4" t="inlineStr">
        <is>
          <t>Bank Details Verification</t>
        </is>
      </c>
      <c r="D194" s="4" t="inlineStr">
        <is>
          <t>Ops</t>
        </is>
      </c>
      <c r="E194" s="5" t="n">
        <v>46270</v>
      </c>
      <c r="F194" s="4" t="inlineStr">
        <is>
          <t>Completed</t>
        </is>
      </c>
      <c r="G194" s="4">
        <f>IFERROR(INDEX('01_Customer_Tracker'!$B:$B,MATCH(B194,'01_Customer_Tracker'!$A:$A,0)),"")</f>
        <v/>
      </c>
    </row>
    <row r="195">
      <c r="A195" s="4" t="inlineStr">
        <is>
          <t>T0194</t>
        </is>
      </c>
      <c r="B195" s="4" t="inlineStr">
        <is>
          <t>C022</t>
        </is>
      </c>
      <c r="C195" s="4" t="inlineStr">
        <is>
          <t>PAN / UAN Verification</t>
        </is>
      </c>
      <c r="D195" s="4" t="inlineStr">
        <is>
          <t>Ops</t>
        </is>
      </c>
      <c r="E195" s="5" t="n">
        <v>46272</v>
      </c>
      <c r="F195" s="4" t="inlineStr">
        <is>
          <t>Completed</t>
        </is>
      </c>
      <c r="G195" s="4">
        <f>IFERROR(INDEX('01_Customer_Tracker'!$B:$B,MATCH(B195,'01_Customer_Tracker'!$A:$A,0)),"")</f>
        <v/>
      </c>
    </row>
    <row r="196">
      <c r="A196" s="4" t="inlineStr">
        <is>
          <t>T0195</t>
        </is>
      </c>
      <c r="B196" s="4" t="inlineStr">
        <is>
          <t>C022</t>
        </is>
      </c>
      <c r="C196" s="4" t="inlineStr">
        <is>
          <t>Attendance &amp; Leave Config</t>
        </is>
      </c>
      <c r="D196" s="4" t="inlineStr">
        <is>
          <t>Payroll Ops</t>
        </is>
      </c>
      <c r="E196" s="5" t="n">
        <v>46276</v>
      </c>
      <c r="F196" s="4" t="inlineStr">
        <is>
          <t>In Progress</t>
        </is>
      </c>
      <c r="G196" s="4">
        <f>IFERROR(INDEX('01_Customer_Tracker'!$B:$B,MATCH(B196,'01_Customer_Tracker'!$A:$A,0)),"")</f>
        <v/>
      </c>
    </row>
    <row r="197">
      <c r="A197" s="4" t="inlineStr">
        <is>
          <t>T0196</t>
        </is>
      </c>
      <c r="B197" s="4" t="inlineStr">
        <is>
          <t>C022</t>
        </is>
      </c>
      <c r="C197" s="4" t="inlineStr">
        <is>
          <t>Salary Structure Mapping</t>
        </is>
      </c>
      <c r="D197" s="4" t="inlineStr">
        <is>
          <t>Payroll Ops</t>
        </is>
      </c>
      <c r="E197" s="5" t="n">
        <v>46279</v>
      </c>
      <c r="F197" s="4" t="inlineStr">
        <is>
          <t>In Progress</t>
        </is>
      </c>
      <c r="G197" s="4">
        <f>IFERROR(INDEX('01_Customer_Tracker'!$B:$B,MATCH(B197,'01_Customer_Tracker'!$A:$A,0)),"")</f>
        <v/>
      </c>
    </row>
    <row r="198">
      <c r="A198" s="4" t="inlineStr">
        <is>
          <t>T0197</t>
        </is>
      </c>
      <c r="B198" s="4" t="inlineStr">
        <is>
          <t>C022</t>
        </is>
      </c>
      <c r="C198" s="4" t="inlineStr">
        <is>
          <t>Pre-run Reconciliation</t>
        </is>
      </c>
      <c r="D198" s="4" t="inlineStr">
        <is>
          <t>Payroll Ops</t>
        </is>
      </c>
      <c r="E198" s="5" t="n">
        <v>46284</v>
      </c>
      <c r="F198" s="4" t="inlineStr">
        <is>
          <t>Pending</t>
        </is>
      </c>
      <c r="G198" s="4">
        <f>IFERROR(INDEX('01_Customer_Tracker'!$B:$B,MATCH(B198,'01_Customer_Tracker'!$A:$A,0)),"")</f>
        <v/>
      </c>
    </row>
    <row r="199">
      <c r="A199" s="4" t="inlineStr">
        <is>
          <t>T0198</t>
        </is>
      </c>
      <c r="B199" s="4" t="inlineStr">
        <is>
          <t>C022</t>
        </is>
      </c>
      <c r="C199" s="4" t="inlineStr">
        <is>
          <t>Customer Approval Sign-off</t>
        </is>
      </c>
      <c r="D199" s="4" t="inlineStr">
        <is>
          <t>Customer</t>
        </is>
      </c>
      <c r="E199" s="5" t="n">
        <v>46288</v>
      </c>
      <c r="F199" s="4" t="inlineStr">
        <is>
          <t>Pending</t>
        </is>
      </c>
      <c r="G199" s="4">
        <f>IFERROR(INDEX('01_Customer_Tracker'!$B:$B,MATCH(B199,'01_Customer_Tracker'!$A:$A,0)),"")</f>
        <v/>
      </c>
    </row>
    <row r="200">
      <c r="A200" s="4" t="inlineStr">
        <is>
          <t>T0199</t>
        </is>
      </c>
      <c r="B200" s="4" t="inlineStr">
        <is>
          <t>C023</t>
        </is>
      </c>
      <c r="C200" s="4" t="inlineStr">
        <is>
          <t>Company Info &amp; KYC</t>
        </is>
      </c>
      <c r="D200" s="4" t="inlineStr">
        <is>
          <t>Customer</t>
        </is>
      </c>
      <c r="E200" s="5" t="n">
        <v>46267</v>
      </c>
      <c r="F200" s="4" t="inlineStr">
        <is>
          <t>Completed</t>
        </is>
      </c>
      <c r="G200" s="4">
        <f>IFERROR(INDEX('01_Customer_Tracker'!$B:$B,MATCH(B200,'01_Customer_Tracker'!$A:$A,0)),"")</f>
        <v/>
      </c>
    </row>
    <row r="201">
      <c r="A201" s="4" t="inlineStr">
        <is>
          <t>T0200</t>
        </is>
      </c>
      <c r="B201" s="4" t="inlineStr">
        <is>
          <t>C023</t>
        </is>
      </c>
      <c r="C201" s="4" t="inlineStr">
        <is>
          <t>Document Collection</t>
        </is>
      </c>
      <c r="D201" s="4" t="inlineStr">
        <is>
          <t>Customer</t>
        </is>
      </c>
      <c r="E201" s="5" t="n">
        <v>46270</v>
      </c>
      <c r="F201" s="4" t="inlineStr">
        <is>
          <t>Completed</t>
        </is>
      </c>
      <c r="G201" s="4">
        <f>IFERROR(INDEX('01_Customer_Tracker'!$B:$B,MATCH(B201,'01_Customer_Tracker'!$A:$A,0)),"")</f>
        <v/>
      </c>
    </row>
    <row r="202">
      <c r="A202" s="4" t="inlineStr">
        <is>
          <t>T0201</t>
        </is>
      </c>
      <c r="B202" s="4" t="inlineStr">
        <is>
          <t>C023</t>
        </is>
      </c>
      <c r="C202" s="4" t="inlineStr">
        <is>
          <t>Employee Data Upload</t>
        </is>
      </c>
      <c r="D202" s="4" t="inlineStr">
        <is>
          <t>Customer</t>
        </is>
      </c>
      <c r="E202" s="5" t="n">
        <v>46274</v>
      </c>
      <c r="F202" s="4" t="inlineStr">
        <is>
          <t>Completed</t>
        </is>
      </c>
      <c r="G202" s="4">
        <f>IFERROR(INDEX('01_Customer_Tracker'!$B:$B,MATCH(B202,'01_Customer_Tracker'!$A:$A,0)),"")</f>
        <v/>
      </c>
    </row>
    <row r="203">
      <c r="A203" s="4" t="inlineStr">
        <is>
          <t>T0202</t>
        </is>
      </c>
      <c r="B203" s="4" t="inlineStr">
        <is>
          <t>C023</t>
        </is>
      </c>
      <c r="C203" s="4" t="inlineStr">
        <is>
          <t>Bank Details Verification</t>
        </is>
      </c>
      <c r="D203" s="4" t="inlineStr">
        <is>
          <t>Ops</t>
        </is>
      </c>
      <c r="E203" s="5" t="n">
        <v>46278</v>
      </c>
      <c r="F203" s="4" t="inlineStr">
        <is>
          <t>Pending</t>
        </is>
      </c>
      <c r="G203" s="4">
        <f>IFERROR(INDEX('01_Customer_Tracker'!$B:$B,MATCH(B203,'01_Customer_Tracker'!$A:$A,0)),"")</f>
        <v/>
      </c>
    </row>
    <row r="204">
      <c r="A204" s="4" t="inlineStr">
        <is>
          <t>T0203</t>
        </is>
      </c>
      <c r="B204" s="4" t="inlineStr">
        <is>
          <t>C023</t>
        </is>
      </c>
      <c r="C204" s="4" t="inlineStr">
        <is>
          <t>PAN / UAN Verification</t>
        </is>
      </c>
      <c r="D204" s="4" t="inlineStr">
        <is>
          <t>Ops</t>
        </is>
      </c>
      <c r="E204" s="5" t="n">
        <v>46280</v>
      </c>
      <c r="F204" s="4" t="inlineStr">
        <is>
          <t>Pending</t>
        </is>
      </c>
      <c r="G204" s="4">
        <f>IFERROR(INDEX('01_Customer_Tracker'!$B:$B,MATCH(B204,'01_Customer_Tracker'!$A:$A,0)),"")</f>
        <v/>
      </c>
    </row>
    <row r="205">
      <c r="A205" s="4" t="inlineStr">
        <is>
          <t>T0204</t>
        </is>
      </c>
      <c r="B205" s="4" t="inlineStr">
        <is>
          <t>C023</t>
        </is>
      </c>
      <c r="C205" s="4" t="inlineStr">
        <is>
          <t>Attendance &amp; Leave Config</t>
        </is>
      </c>
      <c r="D205" s="4" t="inlineStr">
        <is>
          <t>Payroll Ops</t>
        </is>
      </c>
      <c r="E205" s="5" t="n">
        <v>46284</v>
      </c>
      <c r="F205" s="4" t="inlineStr">
        <is>
          <t>Pending</t>
        </is>
      </c>
      <c r="G205" s="4">
        <f>IFERROR(INDEX('01_Customer_Tracker'!$B:$B,MATCH(B205,'01_Customer_Tracker'!$A:$A,0)),"")</f>
        <v/>
      </c>
    </row>
    <row r="206">
      <c r="A206" s="4" t="inlineStr">
        <is>
          <t>T0205</t>
        </is>
      </c>
      <c r="B206" s="4" t="inlineStr">
        <is>
          <t>C023</t>
        </is>
      </c>
      <c r="C206" s="4" t="inlineStr">
        <is>
          <t>Salary Structure Mapping</t>
        </is>
      </c>
      <c r="D206" s="4" t="inlineStr">
        <is>
          <t>Payroll Ops</t>
        </is>
      </c>
      <c r="E206" s="5" t="n">
        <v>46287</v>
      </c>
      <c r="F206" s="4" t="inlineStr">
        <is>
          <t>Pending</t>
        </is>
      </c>
      <c r="G206" s="4">
        <f>IFERROR(INDEX('01_Customer_Tracker'!$B:$B,MATCH(B206,'01_Customer_Tracker'!$A:$A,0)),"")</f>
        <v/>
      </c>
    </row>
    <row r="207">
      <c r="A207" s="4" t="inlineStr">
        <is>
          <t>T0206</t>
        </is>
      </c>
      <c r="B207" s="4" t="inlineStr">
        <is>
          <t>C023</t>
        </is>
      </c>
      <c r="C207" s="4" t="inlineStr">
        <is>
          <t>Pre-run Reconciliation</t>
        </is>
      </c>
      <c r="D207" s="4" t="inlineStr">
        <is>
          <t>Payroll Ops</t>
        </is>
      </c>
      <c r="E207" s="5" t="n">
        <v>46292</v>
      </c>
      <c r="F207" s="4" t="inlineStr">
        <is>
          <t>Pending</t>
        </is>
      </c>
      <c r="G207" s="4">
        <f>IFERROR(INDEX('01_Customer_Tracker'!$B:$B,MATCH(B207,'01_Customer_Tracker'!$A:$A,0)),"")</f>
        <v/>
      </c>
    </row>
    <row r="208">
      <c r="A208" s="4" t="inlineStr">
        <is>
          <t>T0207</t>
        </is>
      </c>
      <c r="B208" s="4" t="inlineStr">
        <is>
          <t>C023</t>
        </is>
      </c>
      <c r="C208" s="4" t="inlineStr">
        <is>
          <t>Customer Approval Sign-off</t>
        </is>
      </c>
      <c r="D208" s="4" t="inlineStr">
        <is>
          <t>Customer</t>
        </is>
      </c>
      <c r="E208" s="5" t="n">
        <v>46296</v>
      </c>
      <c r="F208" s="4" t="inlineStr">
        <is>
          <t>Pending</t>
        </is>
      </c>
      <c r="G208" s="4">
        <f>IFERROR(INDEX('01_Customer_Tracker'!$B:$B,MATCH(B208,'01_Customer_Tracker'!$A:$A,0)),"")</f>
        <v/>
      </c>
    </row>
    <row r="209">
      <c r="A209" s="4" t="inlineStr">
        <is>
          <t>T0208</t>
        </is>
      </c>
      <c r="B209" s="4" t="inlineStr">
        <is>
          <t>C024</t>
        </is>
      </c>
      <c r="C209" s="4" t="inlineStr">
        <is>
          <t>Company Info &amp; KYC</t>
        </is>
      </c>
      <c r="D209" s="4" t="inlineStr">
        <is>
          <t>Customer</t>
        </is>
      </c>
      <c r="E209" s="5" t="n">
        <v>46245</v>
      </c>
      <c r="F209" s="4" t="inlineStr">
        <is>
          <t>Completed</t>
        </is>
      </c>
      <c r="G209" s="4">
        <f>IFERROR(INDEX('01_Customer_Tracker'!$B:$B,MATCH(B209,'01_Customer_Tracker'!$A:$A,0)),"")</f>
        <v/>
      </c>
    </row>
    <row r="210">
      <c r="A210" s="4" t="inlineStr">
        <is>
          <t>T0209</t>
        </is>
      </c>
      <c r="B210" s="4" t="inlineStr">
        <is>
          <t>C024</t>
        </is>
      </c>
      <c r="C210" s="4" t="inlineStr">
        <is>
          <t>Document Collection</t>
        </is>
      </c>
      <c r="D210" s="4" t="inlineStr">
        <is>
          <t>Customer</t>
        </is>
      </c>
      <c r="E210" s="5" t="n">
        <v>46248</v>
      </c>
      <c r="F210" s="4" t="inlineStr">
        <is>
          <t>Completed</t>
        </is>
      </c>
      <c r="G210" s="4">
        <f>IFERROR(INDEX('01_Customer_Tracker'!$B:$B,MATCH(B210,'01_Customer_Tracker'!$A:$A,0)),"")</f>
        <v/>
      </c>
    </row>
    <row r="211">
      <c r="A211" s="4" t="inlineStr">
        <is>
          <t>T0210</t>
        </is>
      </c>
      <c r="B211" s="4" t="inlineStr">
        <is>
          <t>C024</t>
        </is>
      </c>
      <c r="C211" s="4" t="inlineStr">
        <is>
          <t>Employee Data Upload</t>
        </is>
      </c>
      <c r="D211" s="4" t="inlineStr">
        <is>
          <t>Customer</t>
        </is>
      </c>
      <c r="E211" s="5" t="n">
        <v>46252</v>
      </c>
      <c r="F211" s="4" t="inlineStr">
        <is>
          <t>Completed</t>
        </is>
      </c>
      <c r="G211" s="4">
        <f>IFERROR(INDEX('01_Customer_Tracker'!$B:$B,MATCH(B211,'01_Customer_Tracker'!$A:$A,0)),"")</f>
        <v/>
      </c>
    </row>
    <row r="212">
      <c r="A212" s="4" t="inlineStr">
        <is>
          <t>T0211</t>
        </is>
      </c>
      <c r="B212" s="4" t="inlineStr">
        <is>
          <t>C024</t>
        </is>
      </c>
      <c r="C212" s="4" t="inlineStr">
        <is>
          <t>Bank Details Verification</t>
        </is>
      </c>
      <c r="D212" s="4" t="inlineStr">
        <is>
          <t>Ops</t>
        </is>
      </c>
      <c r="E212" s="5" t="n">
        <v>46256</v>
      </c>
      <c r="F212" s="4" t="inlineStr">
        <is>
          <t>Completed</t>
        </is>
      </c>
      <c r="G212" s="4">
        <f>IFERROR(INDEX('01_Customer_Tracker'!$B:$B,MATCH(B212,'01_Customer_Tracker'!$A:$A,0)),"")</f>
        <v/>
      </c>
    </row>
    <row r="213">
      <c r="A213" s="4" t="inlineStr">
        <is>
          <t>T0212</t>
        </is>
      </c>
      <c r="B213" s="4" t="inlineStr">
        <is>
          <t>C024</t>
        </is>
      </c>
      <c r="C213" s="4" t="inlineStr">
        <is>
          <t>PAN / UAN Verification</t>
        </is>
      </c>
      <c r="D213" s="4" t="inlineStr">
        <is>
          <t>Ops</t>
        </is>
      </c>
      <c r="E213" s="5" t="n">
        <v>46258</v>
      </c>
      <c r="F213" s="4" t="inlineStr">
        <is>
          <t>Completed</t>
        </is>
      </c>
      <c r="G213" s="4">
        <f>IFERROR(INDEX('01_Customer_Tracker'!$B:$B,MATCH(B213,'01_Customer_Tracker'!$A:$A,0)),"")</f>
        <v/>
      </c>
    </row>
    <row r="214">
      <c r="A214" s="4" t="inlineStr">
        <is>
          <t>T0213</t>
        </is>
      </c>
      <c r="B214" s="4" t="inlineStr">
        <is>
          <t>C024</t>
        </is>
      </c>
      <c r="C214" s="4" t="inlineStr">
        <is>
          <t>Attendance &amp; Leave Config</t>
        </is>
      </c>
      <c r="D214" s="4" t="inlineStr">
        <is>
          <t>Payroll Ops</t>
        </is>
      </c>
      <c r="E214" s="5" t="n">
        <v>46262</v>
      </c>
      <c r="F214" s="4" t="inlineStr">
        <is>
          <t>Completed</t>
        </is>
      </c>
      <c r="G214" s="4">
        <f>IFERROR(INDEX('01_Customer_Tracker'!$B:$B,MATCH(B214,'01_Customer_Tracker'!$A:$A,0)),"")</f>
        <v/>
      </c>
    </row>
    <row r="215">
      <c r="A215" s="4" t="inlineStr">
        <is>
          <t>T0214</t>
        </is>
      </c>
      <c r="B215" s="4" t="inlineStr">
        <is>
          <t>C024</t>
        </is>
      </c>
      <c r="C215" s="4" t="inlineStr">
        <is>
          <t>Salary Structure Mapping</t>
        </is>
      </c>
      <c r="D215" s="4" t="inlineStr">
        <is>
          <t>Payroll Ops</t>
        </is>
      </c>
      <c r="E215" s="5" t="n">
        <v>46265</v>
      </c>
      <c r="F215" s="4" t="inlineStr">
        <is>
          <t>Completed</t>
        </is>
      </c>
      <c r="G215" s="4">
        <f>IFERROR(INDEX('01_Customer_Tracker'!$B:$B,MATCH(B215,'01_Customer_Tracker'!$A:$A,0)),"")</f>
        <v/>
      </c>
    </row>
    <row r="216">
      <c r="A216" s="4" t="inlineStr">
        <is>
          <t>T0215</t>
        </is>
      </c>
      <c r="B216" s="4" t="inlineStr">
        <is>
          <t>C024</t>
        </is>
      </c>
      <c r="C216" s="4" t="inlineStr">
        <is>
          <t>Pre-run Reconciliation</t>
        </is>
      </c>
      <c r="D216" s="4" t="inlineStr">
        <is>
          <t>Payroll Ops</t>
        </is>
      </c>
      <c r="E216" s="5" t="n">
        <v>46270</v>
      </c>
      <c r="F216" s="4" t="inlineStr">
        <is>
          <t>Completed</t>
        </is>
      </c>
      <c r="G216" s="4">
        <f>IFERROR(INDEX('01_Customer_Tracker'!$B:$B,MATCH(B216,'01_Customer_Tracker'!$A:$A,0)),"")</f>
        <v/>
      </c>
    </row>
    <row r="217">
      <c r="A217" s="4" t="inlineStr">
        <is>
          <t>T0216</t>
        </is>
      </c>
      <c r="B217" s="4" t="inlineStr">
        <is>
          <t>C024</t>
        </is>
      </c>
      <c r="C217" s="4" t="inlineStr">
        <is>
          <t>Customer Approval Sign-off</t>
        </is>
      </c>
      <c r="D217" s="4" t="inlineStr">
        <is>
          <t>Customer</t>
        </is>
      </c>
      <c r="E217" s="5" t="n">
        <v>46274</v>
      </c>
      <c r="F217" s="4" t="inlineStr">
        <is>
          <t>Completed</t>
        </is>
      </c>
      <c r="G217" s="4">
        <f>IFERROR(INDEX('01_Customer_Tracker'!$B:$B,MATCH(B217,'01_Customer_Tracker'!$A:$A,0)),"")</f>
        <v/>
      </c>
    </row>
    <row r="218">
      <c r="A218" s="4" t="inlineStr">
        <is>
          <t>T0217</t>
        </is>
      </c>
      <c r="B218" s="4" t="inlineStr">
        <is>
          <t>C025</t>
        </is>
      </c>
      <c r="C218" s="4" t="inlineStr">
        <is>
          <t>Company Info &amp; KYC</t>
        </is>
      </c>
      <c r="D218" s="4" t="inlineStr">
        <is>
          <t>Customer</t>
        </is>
      </c>
      <c r="E218" s="5" t="n">
        <v>46255</v>
      </c>
      <c r="F218" s="4" t="inlineStr">
        <is>
          <t>Completed</t>
        </is>
      </c>
      <c r="G218" s="4">
        <f>IFERROR(INDEX('01_Customer_Tracker'!$B:$B,MATCH(B218,'01_Customer_Tracker'!$A:$A,0)),"")</f>
        <v/>
      </c>
    </row>
    <row r="219">
      <c r="A219" s="4" t="inlineStr">
        <is>
          <t>T0218</t>
        </is>
      </c>
      <c r="B219" s="4" t="inlineStr">
        <is>
          <t>C025</t>
        </is>
      </c>
      <c r="C219" s="4" t="inlineStr">
        <is>
          <t>Document Collection</t>
        </is>
      </c>
      <c r="D219" s="4" t="inlineStr">
        <is>
          <t>Customer</t>
        </is>
      </c>
      <c r="E219" s="5" t="n">
        <v>46258</v>
      </c>
      <c r="F219" s="4" t="inlineStr">
        <is>
          <t>Completed</t>
        </is>
      </c>
      <c r="G219" s="4">
        <f>IFERROR(INDEX('01_Customer_Tracker'!$B:$B,MATCH(B219,'01_Customer_Tracker'!$A:$A,0)),"")</f>
        <v/>
      </c>
    </row>
    <row r="220">
      <c r="A220" s="4" t="inlineStr">
        <is>
          <t>T0219</t>
        </is>
      </c>
      <c r="B220" s="4" t="inlineStr">
        <is>
          <t>C025</t>
        </is>
      </c>
      <c r="C220" s="4" t="inlineStr">
        <is>
          <t>Employee Data Upload</t>
        </is>
      </c>
      <c r="D220" s="4" t="inlineStr">
        <is>
          <t>Customer</t>
        </is>
      </c>
      <c r="E220" s="5" t="n">
        <v>46262</v>
      </c>
      <c r="F220" s="4" t="inlineStr">
        <is>
          <t>Completed</t>
        </is>
      </c>
      <c r="G220" s="4">
        <f>IFERROR(INDEX('01_Customer_Tracker'!$B:$B,MATCH(B220,'01_Customer_Tracker'!$A:$A,0)),"")</f>
        <v/>
      </c>
    </row>
    <row r="221">
      <c r="A221" s="4" t="inlineStr">
        <is>
          <t>T0220</t>
        </is>
      </c>
      <c r="B221" s="4" t="inlineStr">
        <is>
          <t>C025</t>
        </is>
      </c>
      <c r="C221" s="4" t="inlineStr">
        <is>
          <t>Bank Details Verification</t>
        </is>
      </c>
      <c r="D221" s="4" t="inlineStr">
        <is>
          <t>Ops</t>
        </is>
      </c>
      <c r="E221" s="5" t="n">
        <v>46266</v>
      </c>
      <c r="F221" s="4" t="inlineStr">
        <is>
          <t>Completed</t>
        </is>
      </c>
      <c r="G221" s="4">
        <f>IFERROR(INDEX('01_Customer_Tracker'!$B:$B,MATCH(B221,'01_Customer_Tracker'!$A:$A,0)),"")</f>
        <v/>
      </c>
    </row>
    <row r="222">
      <c r="A222" s="4" t="inlineStr">
        <is>
          <t>T0221</t>
        </is>
      </c>
      <c r="B222" s="4" t="inlineStr">
        <is>
          <t>C025</t>
        </is>
      </c>
      <c r="C222" s="4" t="inlineStr">
        <is>
          <t>PAN / UAN Verification</t>
        </is>
      </c>
      <c r="D222" s="4" t="inlineStr">
        <is>
          <t>Ops</t>
        </is>
      </c>
      <c r="E222" s="5" t="n">
        <v>46268</v>
      </c>
      <c r="F222" s="4" t="inlineStr">
        <is>
          <t>Completed</t>
        </is>
      </c>
      <c r="G222" s="4">
        <f>IFERROR(INDEX('01_Customer_Tracker'!$B:$B,MATCH(B222,'01_Customer_Tracker'!$A:$A,0)),"")</f>
        <v/>
      </c>
    </row>
    <row r="223">
      <c r="A223" s="4" t="inlineStr">
        <is>
          <t>T0222</t>
        </is>
      </c>
      <c r="B223" s="4" t="inlineStr">
        <is>
          <t>C025</t>
        </is>
      </c>
      <c r="C223" s="4" t="inlineStr">
        <is>
          <t>Attendance &amp; Leave Config</t>
        </is>
      </c>
      <c r="D223" s="4" t="inlineStr">
        <is>
          <t>Payroll Ops</t>
        </is>
      </c>
      <c r="E223" s="5" t="n">
        <v>46272</v>
      </c>
      <c r="F223" s="4" t="inlineStr">
        <is>
          <t>Completed</t>
        </is>
      </c>
      <c r="G223" s="4">
        <f>IFERROR(INDEX('01_Customer_Tracker'!$B:$B,MATCH(B223,'01_Customer_Tracker'!$A:$A,0)),"")</f>
        <v/>
      </c>
    </row>
    <row r="224">
      <c r="A224" s="4" t="inlineStr">
        <is>
          <t>T0223</t>
        </is>
      </c>
      <c r="B224" s="4" t="inlineStr">
        <is>
          <t>C025</t>
        </is>
      </c>
      <c r="C224" s="4" t="inlineStr">
        <is>
          <t>Salary Structure Mapping</t>
        </is>
      </c>
      <c r="D224" s="4" t="inlineStr">
        <is>
          <t>Payroll Ops</t>
        </is>
      </c>
      <c r="E224" s="5" t="n">
        <v>46275</v>
      </c>
      <c r="F224" s="4" t="inlineStr">
        <is>
          <t>Completed</t>
        </is>
      </c>
      <c r="G224" s="4">
        <f>IFERROR(INDEX('01_Customer_Tracker'!$B:$B,MATCH(B224,'01_Customer_Tracker'!$A:$A,0)),"")</f>
        <v/>
      </c>
    </row>
    <row r="225">
      <c r="A225" s="4" t="inlineStr">
        <is>
          <t>T0224</t>
        </is>
      </c>
      <c r="B225" s="4" t="inlineStr">
        <is>
          <t>C025</t>
        </is>
      </c>
      <c r="C225" s="4" t="inlineStr">
        <is>
          <t>Pre-run Reconciliation</t>
        </is>
      </c>
      <c r="D225" s="4" t="inlineStr">
        <is>
          <t>Payroll Ops</t>
        </is>
      </c>
      <c r="E225" s="5" t="n">
        <v>46280</v>
      </c>
      <c r="F225" s="4" t="inlineStr">
        <is>
          <t>Pending</t>
        </is>
      </c>
      <c r="G225" s="4">
        <f>IFERROR(INDEX('01_Customer_Tracker'!$B:$B,MATCH(B225,'01_Customer_Tracker'!$A:$A,0)),"")</f>
        <v/>
      </c>
    </row>
    <row r="226">
      <c r="A226" s="4" t="inlineStr">
        <is>
          <t>T0225</t>
        </is>
      </c>
      <c r="B226" s="4" t="inlineStr">
        <is>
          <t>C025</t>
        </is>
      </c>
      <c r="C226" s="4" t="inlineStr">
        <is>
          <t>Customer Approval Sign-off</t>
        </is>
      </c>
      <c r="D226" s="4" t="inlineStr">
        <is>
          <t>Customer</t>
        </is>
      </c>
      <c r="E226" s="5" t="n">
        <v>46284</v>
      </c>
      <c r="F226" s="4" t="inlineStr">
        <is>
          <t>Pending</t>
        </is>
      </c>
      <c r="G226" s="4">
        <f>IFERROR(INDEX('01_Customer_Tracker'!$B:$B,MATCH(B226,'01_Customer_Tracker'!$A:$A,0)),"")</f>
        <v/>
      </c>
    </row>
    <row r="227">
      <c r="A227" s="4" t="inlineStr">
        <is>
          <t>T0226</t>
        </is>
      </c>
      <c r="B227" s="4" t="inlineStr">
        <is>
          <t>C026</t>
        </is>
      </c>
      <c r="C227" s="4" t="inlineStr">
        <is>
          <t>Company Info &amp; KYC</t>
        </is>
      </c>
      <c r="D227" s="4" t="inlineStr">
        <is>
          <t>Customer</t>
        </is>
      </c>
      <c r="E227" s="5" t="n">
        <v>46224</v>
      </c>
      <c r="F227" s="4" t="inlineStr">
        <is>
          <t>Completed</t>
        </is>
      </c>
      <c r="G227" s="4">
        <f>IFERROR(INDEX('01_Customer_Tracker'!$B:$B,MATCH(B227,'01_Customer_Tracker'!$A:$A,0)),"")</f>
        <v/>
      </c>
    </row>
    <row r="228">
      <c r="A228" s="4" t="inlineStr">
        <is>
          <t>T0227</t>
        </is>
      </c>
      <c r="B228" s="4" t="inlineStr">
        <is>
          <t>C026</t>
        </is>
      </c>
      <c r="C228" s="4" t="inlineStr">
        <is>
          <t>Document Collection</t>
        </is>
      </c>
      <c r="D228" s="4" t="inlineStr">
        <is>
          <t>Customer</t>
        </is>
      </c>
      <c r="E228" s="5" t="n">
        <v>46227</v>
      </c>
      <c r="F228" s="4" t="inlineStr">
        <is>
          <t>Completed</t>
        </is>
      </c>
      <c r="G228" s="4">
        <f>IFERROR(INDEX('01_Customer_Tracker'!$B:$B,MATCH(B228,'01_Customer_Tracker'!$A:$A,0)),"")</f>
        <v/>
      </c>
    </row>
    <row r="229">
      <c r="A229" s="4" t="inlineStr">
        <is>
          <t>T0228</t>
        </is>
      </c>
      <c r="B229" s="4" t="inlineStr">
        <is>
          <t>C026</t>
        </is>
      </c>
      <c r="C229" s="4" t="inlineStr">
        <is>
          <t>Employee Data Upload</t>
        </is>
      </c>
      <c r="D229" s="4" t="inlineStr">
        <is>
          <t>Customer</t>
        </is>
      </c>
      <c r="E229" s="5" t="n">
        <v>46231</v>
      </c>
      <c r="F229" s="4" t="inlineStr">
        <is>
          <t>Completed</t>
        </is>
      </c>
      <c r="G229" s="4">
        <f>IFERROR(INDEX('01_Customer_Tracker'!$B:$B,MATCH(B229,'01_Customer_Tracker'!$A:$A,0)),"")</f>
        <v/>
      </c>
    </row>
    <row r="230">
      <c r="A230" s="4" t="inlineStr">
        <is>
          <t>T0229</t>
        </is>
      </c>
      <c r="B230" s="4" t="inlineStr">
        <is>
          <t>C026</t>
        </is>
      </c>
      <c r="C230" s="4" t="inlineStr">
        <is>
          <t>Bank Details Verification</t>
        </is>
      </c>
      <c r="D230" s="4" t="inlineStr">
        <is>
          <t>Ops</t>
        </is>
      </c>
      <c r="E230" s="5" t="n">
        <v>46235</v>
      </c>
      <c r="F230" s="4" t="inlineStr">
        <is>
          <t>Completed</t>
        </is>
      </c>
      <c r="G230" s="4">
        <f>IFERROR(INDEX('01_Customer_Tracker'!$B:$B,MATCH(B230,'01_Customer_Tracker'!$A:$A,0)),"")</f>
        <v/>
      </c>
    </row>
    <row r="231">
      <c r="A231" s="4" t="inlineStr">
        <is>
          <t>T0230</t>
        </is>
      </c>
      <c r="B231" s="4" t="inlineStr">
        <is>
          <t>C026</t>
        </is>
      </c>
      <c r="C231" s="4" t="inlineStr">
        <is>
          <t>PAN / UAN Verification</t>
        </is>
      </c>
      <c r="D231" s="4" t="inlineStr">
        <is>
          <t>Ops</t>
        </is>
      </c>
      <c r="E231" s="5" t="n">
        <v>46237</v>
      </c>
      <c r="F231" s="4" t="inlineStr">
        <is>
          <t>Completed</t>
        </is>
      </c>
      <c r="G231" s="4">
        <f>IFERROR(INDEX('01_Customer_Tracker'!$B:$B,MATCH(B231,'01_Customer_Tracker'!$A:$A,0)),"")</f>
        <v/>
      </c>
    </row>
    <row r="232">
      <c r="A232" s="4" t="inlineStr">
        <is>
          <t>T0231</t>
        </is>
      </c>
      <c r="B232" s="4" t="inlineStr">
        <is>
          <t>C026</t>
        </is>
      </c>
      <c r="C232" s="4" t="inlineStr">
        <is>
          <t>Attendance &amp; Leave Config</t>
        </is>
      </c>
      <c r="D232" s="4" t="inlineStr">
        <is>
          <t>Payroll Ops</t>
        </is>
      </c>
      <c r="E232" s="5" t="n">
        <v>46241</v>
      </c>
      <c r="F232" s="4" t="inlineStr">
        <is>
          <t>In Progress</t>
        </is>
      </c>
      <c r="G232" s="4">
        <f>IFERROR(INDEX('01_Customer_Tracker'!$B:$B,MATCH(B232,'01_Customer_Tracker'!$A:$A,0)),"")</f>
        <v/>
      </c>
    </row>
    <row r="233">
      <c r="A233" s="4" t="inlineStr">
        <is>
          <t>T0232</t>
        </is>
      </c>
      <c r="B233" s="4" t="inlineStr">
        <is>
          <t>C026</t>
        </is>
      </c>
      <c r="C233" s="4" t="inlineStr">
        <is>
          <t>Salary Structure Mapping</t>
        </is>
      </c>
      <c r="D233" s="4" t="inlineStr">
        <is>
          <t>Payroll Ops</t>
        </is>
      </c>
      <c r="E233" s="5" t="n">
        <v>46244</v>
      </c>
      <c r="F233" s="4" t="inlineStr">
        <is>
          <t>In Progress</t>
        </is>
      </c>
      <c r="G233" s="4">
        <f>IFERROR(INDEX('01_Customer_Tracker'!$B:$B,MATCH(B233,'01_Customer_Tracker'!$A:$A,0)),"")</f>
        <v/>
      </c>
    </row>
    <row r="234">
      <c r="A234" s="4" t="inlineStr">
        <is>
          <t>T0233</t>
        </is>
      </c>
      <c r="B234" s="4" t="inlineStr">
        <is>
          <t>C026</t>
        </is>
      </c>
      <c r="C234" s="4" t="inlineStr">
        <is>
          <t>Pre-run Reconciliation</t>
        </is>
      </c>
      <c r="D234" s="4" t="inlineStr">
        <is>
          <t>Payroll Ops</t>
        </is>
      </c>
      <c r="E234" s="5" t="n">
        <v>46249</v>
      </c>
      <c r="F234" s="4" t="inlineStr">
        <is>
          <t>Pending</t>
        </is>
      </c>
      <c r="G234" s="4">
        <f>IFERROR(INDEX('01_Customer_Tracker'!$B:$B,MATCH(B234,'01_Customer_Tracker'!$A:$A,0)),"")</f>
        <v/>
      </c>
    </row>
    <row r="235">
      <c r="A235" s="4" t="inlineStr">
        <is>
          <t>T0234</t>
        </is>
      </c>
      <c r="B235" s="4" t="inlineStr">
        <is>
          <t>C026</t>
        </is>
      </c>
      <c r="C235" s="4" t="inlineStr">
        <is>
          <t>Customer Approval Sign-off</t>
        </is>
      </c>
      <c r="D235" s="4" t="inlineStr">
        <is>
          <t>Customer</t>
        </is>
      </c>
      <c r="E235" s="5" t="n">
        <v>46253</v>
      </c>
      <c r="F235" s="4" t="inlineStr">
        <is>
          <t>Pending</t>
        </is>
      </c>
      <c r="G235" s="4">
        <f>IFERROR(INDEX('01_Customer_Tracker'!$B:$B,MATCH(B235,'01_Customer_Tracker'!$A:$A,0)),"")</f>
        <v/>
      </c>
    </row>
    <row r="236">
      <c r="A236" s="4" t="inlineStr">
        <is>
          <t>T0235</t>
        </is>
      </c>
      <c r="B236" s="4" t="inlineStr">
        <is>
          <t>C027</t>
        </is>
      </c>
      <c r="C236" s="4" t="inlineStr">
        <is>
          <t>Company Info &amp; KYC</t>
        </is>
      </c>
      <c r="D236" s="4" t="inlineStr">
        <is>
          <t>Customer</t>
        </is>
      </c>
      <c r="E236" s="5" t="n">
        <v>46264</v>
      </c>
      <c r="F236" s="4" t="inlineStr">
        <is>
          <t>Completed</t>
        </is>
      </c>
      <c r="G236" s="4">
        <f>IFERROR(INDEX('01_Customer_Tracker'!$B:$B,MATCH(B236,'01_Customer_Tracker'!$A:$A,0)),"")</f>
        <v/>
      </c>
    </row>
    <row r="237">
      <c r="A237" s="4" t="inlineStr">
        <is>
          <t>T0236</t>
        </is>
      </c>
      <c r="B237" s="4" t="inlineStr">
        <is>
          <t>C027</t>
        </is>
      </c>
      <c r="C237" s="4" t="inlineStr">
        <is>
          <t>Document Collection</t>
        </is>
      </c>
      <c r="D237" s="4" t="inlineStr">
        <is>
          <t>Customer</t>
        </is>
      </c>
      <c r="E237" s="5" t="n">
        <v>46267</v>
      </c>
      <c r="F237" s="4" t="inlineStr">
        <is>
          <t>Completed</t>
        </is>
      </c>
      <c r="G237" s="4">
        <f>IFERROR(INDEX('01_Customer_Tracker'!$B:$B,MATCH(B237,'01_Customer_Tracker'!$A:$A,0)),"")</f>
        <v/>
      </c>
    </row>
    <row r="238">
      <c r="A238" s="4" t="inlineStr">
        <is>
          <t>T0237</t>
        </is>
      </c>
      <c r="B238" s="4" t="inlineStr">
        <is>
          <t>C027</t>
        </is>
      </c>
      <c r="C238" s="4" t="inlineStr">
        <is>
          <t>Employee Data Upload</t>
        </is>
      </c>
      <c r="D238" s="4" t="inlineStr">
        <is>
          <t>Customer</t>
        </is>
      </c>
      <c r="E238" s="5" t="n">
        <v>46271</v>
      </c>
      <c r="F238" s="4" t="inlineStr">
        <is>
          <t>Completed</t>
        </is>
      </c>
      <c r="G238" s="4">
        <f>IFERROR(INDEX('01_Customer_Tracker'!$B:$B,MATCH(B238,'01_Customer_Tracker'!$A:$A,0)),"")</f>
        <v/>
      </c>
    </row>
    <row r="239">
      <c r="A239" s="4" t="inlineStr">
        <is>
          <t>T0238</t>
        </is>
      </c>
      <c r="B239" s="4" t="inlineStr">
        <is>
          <t>C027</t>
        </is>
      </c>
      <c r="C239" s="4" t="inlineStr">
        <is>
          <t>Bank Details Verification</t>
        </is>
      </c>
      <c r="D239" s="4" t="inlineStr">
        <is>
          <t>Ops</t>
        </is>
      </c>
      <c r="E239" s="5" t="n">
        <v>46275</v>
      </c>
      <c r="F239" s="4" t="inlineStr">
        <is>
          <t>Pending</t>
        </is>
      </c>
      <c r="G239" s="4">
        <f>IFERROR(INDEX('01_Customer_Tracker'!$B:$B,MATCH(B239,'01_Customer_Tracker'!$A:$A,0)),"")</f>
        <v/>
      </c>
    </row>
    <row r="240">
      <c r="A240" s="4" t="inlineStr">
        <is>
          <t>T0239</t>
        </is>
      </c>
      <c r="B240" s="4" t="inlineStr">
        <is>
          <t>C027</t>
        </is>
      </c>
      <c r="C240" s="4" t="inlineStr">
        <is>
          <t>PAN / UAN Verification</t>
        </is>
      </c>
      <c r="D240" s="4" t="inlineStr">
        <is>
          <t>Ops</t>
        </is>
      </c>
      <c r="E240" s="5" t="n">
        <v>46277</v>
      </c>
      <c r="F240" s="4" t="inlineStr">
        <is>
          <t>Pending</t>
        </is>
      </c>
      <c r="G240" s="4">
        <f>IFERROR(INDEX('01_Customer_Tracker'!$B:$B,MATCH(B240,'01_Customer_Tracker'!$A:$A,0)),"")</f>
        <v/>
      </c>
    </row>
    <row r="241">
      <c r="A241" s="4" t="inlineStr">
        <is>
          <t>T0240</t>
        </is>
      </c>
      <c r="B241" s="4" t="inlineStr">
        <is>
          <t>C027</t>
        </is>
      </c>
      <c r="C241" s="4" t="inlineStr">
        <is>
          <t>Attendance &amp; Leave Config</t>
        </is>
      </c>
      <c r="D241" s="4" t="inlineStr">
        <is>
          <t>Payroll Ops</t>
        </is>
      </c>
      <c r="E241" s="5" t="n">
        <v>46281</v>
      </c>
      <c r="F241" s="4" t="inlineStr">
        <is>
          <t>Pending</t>
        </is>
      </c>
      <c r="G241" s="4">
        <f>IFERROR(INDEX('01_Customer_Tracker'!$B:$B,MATCH(B241,'01_Customer_Tracker'!$A:$A,0)),"")</f>
        <v/>
      </c>
    </row>
    <row r="242">
      <c r="A242" s="4" t="inlineStr">
        <is>
          <t>T0241</t>
        </is>
      </c>
      <c r="B242" s="4" t="inlineStr">
        <is>
          <t>C027</t>
        </is>
      </c>
      <c r="C242" s="4" t="inlineStr">
        <is>
          <t>Salary Structure Mapping</t>
        </is>
      </c>
      <c r="D242" s="4" t="inlineStr">
        <is>
          <t>Payroll Ops</t>
        </is>
      </c>
      <c r="E242" s="5" t="n">
        <v>46284</v>
      </c>
      <c r="F242" s="4" t="inlineStr">
        <is>
          <t>Pending</t>
        </is>
      </c>
      <c r="G242" s="4">
        <f>IFERROR(INDEX('01_Customer_Tracker'!$B:$B,MATCH(B242,'01_Customer_Tracker'!$A:$A,0)),"")</f>
        <v/>
      </c>
    </row>
    <row r="243">
      <c r="A243" s="4" t="inlineStr">
        <is>
          <t>T0242</t>
        </is>
      </c>
      <c r="B243" s="4" t="inlineStr">
        <is>
          <t>C027</t>
        </is>
      </c>
      <c r="C243" s="4" t="inlineStr">
        <is>
          <t>Pre-run Reconciliation</t>
        </is>
      </c>
      <c r="D243" s="4" t="inlineStr">
        <is>
          <t>Payroll Ops</t>
        </is>
      </c>
      <c r="E243" s="5" t="n">
        <v>46289</v>
      </c>
      <c r="F243" s="4" t="inlineStr">
        <is>
          <t>Pending</t>
        </is>
      </c>
      <c r="G243" s="4">
        <f>IFERROR(INDEX('01_Customer_Tracker'!$B:$B,MATCH(B243,'01_Customer_Tracker'!$A:$A,0)),"")</f>
        <v/>
      </c>
    </row>
    <row r="244">
      <c r="A244" s="4" t="inlineStr">
        <is>
          <t>T0243</t>
        </is>
      </c>
      <c r="B244" s="4" t="inlineStr">
        <is>
          <t>C027</t>
        </is>
      </c>
      <c r="C244" s="4" t="inlineStr">
        <is>
          <t>Customer Approval Sign-off</t>
        </is>
      </c>
      <c r="D244" s="4" t="inlineStr">
        <is>
          <t>Customer</t>
        </is>
      </c>
      <c r="E244" s="5" t="n">
        <v>46293</v>
      </c>
      <c r="F244" s="4" t="inlineStr">
        <is>
          <t>Pending</t>
        </is>
      </c>
      <c r="G244" s="4">
        <f>IFERROR(INDEX('01_Customer_Tracker'!$B:$B,MATCH(B244,'01_Customer_Tracker'!$A:$A,0)),"")</f>
        <v/>
      </c>
    </row>
    <row r="245">
      <c r="A245" s="4" t="inlineStr">
        <is>
          <t>T0244</t>
        </is>
      </c>
      <c r="B245" s="4" t="inlineStr">
        <is>
          <t>C028</t>
        </is>
      </c>
      <c r="C245" s="4" t="inlineStr">
        <is>
          <t>Company Info &amp; KYC</t>
        </is>
      </c>
      <c r="D245" s="4" t="inlineStr">
        <is>
          <t>Customer</t>
        </is>
      </c>
      <c r="E245" s="5" t="n">
        <v>46236</v>
      </c>
      <c r="F245" s="4" t="inlineStr">
        <is>
          <t>In Progress</t>
        </is>
      </c>
      <c r="G245" s="4">
        <f>IFERROR(INDEX('01_Customer_Tracker'!$B:$B,MATCH(B245,'01_Customer_Tracker'!$A:$A,0)),"")</f>
        <v/>
      </c>
    </row>
    <row r="246">
      <c r="A246" s="4" t="inlineStr">
        <is>
          <t>T0245</t>
        </is>
      </c>
      <c r="B246" s="4" t="inlineStr">
        <is>
          <t>C028</t>
        </is>
      </c>
      <c r="C246" s="4" t="inlineStr">
        <is>
          <t>Document Collection</t>
        </is>
      </c>
      <c r="D246" s="4" t="inlineStr">
        <is>
          <t>Customer</t>
        </is>
      </c>
      <c r="E246" s="5" t="n">
        <v>46239</v>
      </c>
      <c r="F246" s="4" t="inlineStr">
        <is>
          <t>Pending</t>
        </is>
      </c>
      <c r="G246" s="4">
        <f>IFERROR(INDEX('01_Customer_Tracker'!$B:$B,MATCH(B246,'01_Customer_Tracker'!$A:$A,0)),"")</f>
        <v/>
      </c>
    </row>
    <row r="247">
      <c r="A247" s="4" t="inlineStr">
        <is>
          <t>T0246</t>
        </is>
      </c>
      <c r="B247" s="4" t="inlineStr">
        <is>
          <t>C028</t>
        </is>
      </c>
      <c r="C247" s="4" t="inlineStr">
        <is>
          <t>Employee Data Upload</t>
        </is>
      </c>
      <c r="D247" s="4" t="inlineStr">
        <is>
          <t>Customer</t>
        </is>
      </c>
      <c r="E247" s="5" t="n">
        <v>46243</v>
      </c>
      <c r="F247" s="4" t="inlineStr">
        <is>
          <t>Pending</t>
        </is>
      </c>
      <c r="G247" s="4">
        <f>IFERROR(INDEX('01_Customer_Tracker'!$B:$B,MATCH(B247,'01_Customer_Tracker'!$A:$A,0)),"")</f>
        <v/>
      </c>
    </row>
    <row r="248">
      <c r="A248" s="4" t="inlineStr">
        <is>
          <t>T0247</t>
        </is>
      </c>
      <c r="B248" s="4" t="inlineStr">
        <is>
          <t>C028</t>
        </is>
      </c>
      <c r="C248" s="4" t="inlineStr">
        <is>
          <t>Bank Details Verification</t>
        </is>
      </c>
      <c r="D248" s="4" t="inlineStr">
        <is>
          <t>Ops</t>
        </is>
      </c>
      <c r="E248" s="5" t="n">
        <v>46247</v>
      </c>
      <c r="F248" s="4" t="inlineStr">
        <is>
          <t>Pending</t>
        </is>
      </c>
      <c r="G248" s="4">
        <f>IFERROR(INDEX('01_Customer_Tracker'!$B:$B,MATCH(B248,'01_Customer_Tracker'!$A:$A,0)),"")</f>
        <v/>
      </c>
    </row>
    <row r="249">
      <c r="A249" s="4" t="inlineStr">
        <is>
          <t>T0248</t>
        </is>
      </c>
      <c r="B249" s="4" t="inlineStr">
        <is>
          <t>C028</t>
        </is>
      </c>
      <c r="C249" s="4" t="inlineStr">
        <is>
          <t>PAN / UAN Verification</t>
        </is>
      </c>
      <c r="D249" s="4" t="inlineStr">
        <is>
          <t>Ops</t>
        </is>
      </c>
      <c r="E249" s="5" t="n">
        <v>46249</v>
      </c>
      <c r="F249" s="4" t="inlineStr">
        <is>
          <t>Pending</t>
        </is>
      </c>
      <c r="G249" s="4">
        <f>IFERROR(INDEX('01_Customer_Tracker'!$B:$B,MATCH(B249,'01_Customer_Tracker'!$A:$A,0)),"")</f>
        <v/>
      </c>
    </row>
    <row r="250">
      <c r="A250" s="4" t="inlineStr">
        <is>
          <t>T0249</t>
        </is>
      </c>
      <c r="B250" s="4" t="inlineStr">
        <is>
          <t>C028</t>
        </is>
      </c>
      <c r="C250" s="4" t="inlineStr">
        <is>
          <t>Attendance &amp; Leave Config</t>
        </is>
      </c>
      <c r="D250" s="4" t="inlineStr">
        <is>
          <t>Payroll Ops</t>
        </is>
      </c>
      <c r="E250" s="5" t="n">
        <v>46253</v>
      </c>
      <c r="F250" s="4" t="inlineStr">
        <is>
          <t>Pending</t>
        </is>
      </c>
      <c r="G250" s="4">
        <f>IFERROR(INDEX('01_Customer_Tracker'!$B:$B,MATCH(B250,'01_Customer_Tracker'!$A:$A,0)),"")</f>
        <v/>
      </c>
    </row>
    <row r="251">
      <c r="A251" s="4" t="inlineStr">
        <is>
          <t>T0250</t>
        </is>
      </c>
      <c r="B251" s="4" t="inlineStr">
        <is>
          <t>C028</t>
        </is>
      </c>
      <c r="C251" s="4" t="inlineStr">
        <is>
          <t>Salary Structure Mapping</t>
        </is>
      </c>
      <c r="D251" s="4" t="inlineStr">
        <is>
          <t>Payroll Ops</t>
        </is>
      </c>
      <c r="E251" s="5" t="n">
        <v>46256</v>
      </c>
      <c r="F251" s="4" t="inlineStr">
        <is>
          <t>Pending</t>
        </is>
      </c>
      <c r="G251" s="4">
        <f>IFERROR(INDEX('01_Customer_Tracker'!$B:$B,MATCH(B251,'01_Customer_Tracker'!$A:$A,0)),"")</f>
        <v/>
      </c>
    </row>
    <row r="252">
      <c r="A252" s="4" t="inlineStr">
        <is>
          <t>T0251</t>
        </is>
      </c>
      <c r="B252" s="4" t="inlineStr">
        <is>
          <t>C028</t>
        </is>
      </c>
      <c r="C252" s="4" t="inlineStr">
        <is>
          <t>Pre-run Reconciliation</t>
        </is>
      </c>
      <c r="D252" s="4" t="inlineStr">
        <is>
          <t>Payroll Ops</t>
        </is>
      </c>
      <c r="E252" s="5" t="n">
        <v>46261</v>
      </c>
      <c r="F252" s="4" t="inlineStr">
        <is>
          <t>Pending</t>
        </is>
      </c>
      <c r="G252" s="4">
        <f>IFERROR(INDEX('01_Customer_Tracker'!$B:$B,MATCH(B252,'01_Customer_Tracker'!$A:$A,0)),"")</f>
        <v/>
      </c>
    </row>
    <row r="253">
      <c r="A253" s="4" t="inlineStr">
        <is>
          <t>T0252</t>
        </is>
      </c>
      <c r="B253" s="4" t="inlineStr">
        <is>
          <t>C028</t>
        </is>
      </c>
      <c r="C253" s="4" t="inlineStr">
        <is>
          <t>Customer Approval Sign-off</t>
        </is>
      </c>
      <c r="D253" s="4" t="inlineStr">
        <is>
          <t>Customer</t>
        </is>
      </c>
      <c r="E253" s="5" t="n">
        <v>46265</v>
      </c>
      <c r="F253" s="4" t="inlineStr">
        <is>
          <t>Pending</t>
        </is>
      </c>
      <c r="G253" s="4">
        <f>IFERROR(INDEX('01_Customer_Tracker'!$B:$B,MATCH(B253,'01_Customer_Tracker'!$A:$A,0)),"")</f>
        <v/>
      </c>
    </row>
    <row r="254">
      <c r="A254" s="4" t="inlineStr">
        <is>
          <t>T0253</t>
        </is>
      </c>
      <c r="B254" s="4" t="inlineStr">
        <is>
          <t>C029</t>
        </is>
      </c>
      <c r="C254" s="4" t="inlineStr">
        <is>
          <t>Company Info &amp; KYC</t>
        </is>
      </c>
      <c r="D254" s="4" t="inlineStr">
        <is>
          <t>Customer</t>
        </is>
      </c>
      <c r="E254" s="5" t="n">
        <v>46271</v>
      </c>
      <c r="F254" s="4" t="inlineStr">
        <is>
          <t>Completed</t>
        </is>
      </c>
      <c r="G254" s="4">
        <f>IFERROR(INDEX('01_Customer_Tracker'!$B:$B,MATCH(B254,'01_Customer_Tracker'!$A:$A,0)),"")</f>
        <v/>
      </c>
    </row>
    <row r="255">
      <c r="A255" s="4" t="inlineStr">
        <is>
          <t>T0254</t>
        </is>
      </c>
      <c r="B255" s="4" t="inlineStr">
        <is>
          <t>C029</t>
        </is>
      </c>
      <c r="C255" s="4" t="inlineStr">
        <is>
          <t>Document Collection</t>
        </is>
      </c>
      <c r="D255" s="4" t="inlineStr">
        <is>
          <t>Customer</t>
        </is>
      </c>
      <c r="E255" s="5" t="n">
        <v>46274</v>
      </c>
      <c r="F255" s="4" t="inlineStr">
        <is>
          <t>Completed</t>
        </is>
      </c>
      <c r="G255" s="4">
        <f>IFERROR(INDEX('01_Customer_Tracker'!$B:$B,MATCH(B255,'01_Customer_Tracker'!$A:$A,0)),"")</f>
        <v/>
      </c>
    </row>
    <row r="256">
      <c r="A256" s="4" t="inlineStr">
        <is>
          <t>T0255</t>
        </is>
      </c>
      <c r="B256" s="4" t="inlineStr">
        <is>
          <t>C029</t>
        </is>
      </c>
      <c r="C256" s="4" t="inlineStr">
        <is>
          <t>Employee Data Upload</t>
        </is>
      </c>
      <c r="D256" s="4" t="inlineStr">
        <is>
          <t>Customer</t>
        </is>
      </c>
      <c r="E256" s="5" t="n">
        <v>46278</v>
      </c>
      <c r="F256" s="4" t="inlineStr">
        <is>
          <t>Completed</t>
        </is>
      </c>
      <c r="G256" s="4">
        <f>IFERROR(INDEX('01_Customer_Tracker'!$B:$B,MATCH(B256,'01_Customer_Tracker'!$A:$A,0)),"")</f>
        <v/>
      </c>
    </row>
    <row r="257">
      <c r="A257" s="4" t="inlineStr">
        <is>
          <t>T0256</t>
        </is>
      </c>
      <c r="B257" s="4" t="inlineStr">
        <is>
          <t>C029</t>
        </is>
      </c>
      <c r="C257" s="4" t="inlineStr">
        <is>
          <t>Bank Details Verification</t>
        </is>
      </c>
      <c r="D257" s="4" t="inlineStr">
        <is>
          <t>Ops</t>
        </is>
      </c>
      <c r="E257" s="5" t="n">
        <v>46282</v>
      </c>
      <c r="F257" s="4" t="inlineStr">
        <is>
          <t>Completed</t>
        </is>
      </c>
      <c r="G257" s="4">
        <f>IFERROR(INDEX('01_Customer_Tracker'!$B:$B,MATCH(B257,'01_Customer_Tracker'!$A:$A,0)),"")</f>
        <v/>
      </c>
    </row>
    <row r="258">
      <c r="A258" s="4" t="inlineStr">
        <is>
          <t>T0257</t>
        </is>
      </c>
      <c r="B258" s="4" t="inlineStr">
        <is>
          <t>C029</t>
        </is>
      </c>
      <c r="C258" s="4" t="inlineStr">
        <is>
          <t>PAN / UAN Verification</t>
        </is>
      </c>
      <c r="D258" s="4" t="inlineStr">
        <is>
          <t>Ops</t>
        </is>
      </c>
      <c r="E258" s="5" t="n">
        <v>46284</v>
      </c>
      <c r="F258" s="4" t="inlineStr">
        <is>
          <t>Completed</t>
        </is>
      </c>
      <c r="G258" s="4">
        <f>IFERROR(INDEX('01_Customer_Tracker'!$B:$B,MATCH(B258,'01_Customer_Tracker'!$A:$A,0)),"")</f>
        <v/>
      </c>
    </row>
    <row r="259">
      <c r="A259" s="4" t="inlineStr">
        <is>
          <t>T0258</t>
        </is>
      </c>
      <c r="B259" s="4" t="inlineStr">
        <is>
          <t>C029</t>
        </is>
      </c>
      <c r="C259" s="4" t="inlineStr">
        <is>
          <t>Attendance &amp; Leave Config</t>
        </is>
      </c>
      <c r="D259" s="4" t="inlineStr">
        <is>
          <t>Payroll Ops</t>
        </is>
      </c>
      <c r="E259" s="5" t="n">
        <v>46288</v>
      </c>
      <c r="F259" s="4" t="inlineStr">
        <is>
          <t>Pending</t>
        </is>
      </c>
      <c r="G259" s="4">
        <f>IFERROR(INDEX('01_Customer_Tracker'!$B:$B,MATCH(B259,'01_Customer_Tracker'!$A:$A,0)),"")</f>
        <v/>
      </c>
    </row>
    <row r="260">
      <c r="A260" s="4" t="inlineStr">
        <is>
          <t>T0259</t>
        </is>
      </c>
      <c r="B260" s="4" t="inlineStr">
        <is>
          <t>C029</t>
        </is>
      </c>
      <c r="C260" s="4" t="inlineStr">
        <is>
          <t>Salary Structure Mapping</t>
        </is>
      </c>
      <c r="D260" s="4" t="inlineStr">
        <is>
          <t>Payroll Ops</t>
        </is>
      </c>
      <c r="E260" s="5" t="n">
        <v>46291</v>
      </c>
      <c r="F260" s="4" t="inlineStr">
        <is>
          <t>Pending</t>
        </is>
      </c>
      <c r="G260" s="4">
        <f>IFERROR(INDEX('01_Customer_Tracker'!$B:$B,MATCH(B260,'01_Customer_Tracker'!$A:$A,0)),"")</f>
        <v/>
      </c>
    </row>
    <row r="261">
      <c r="A261" s="4" t="inlineStr">
        <is>
          <t>T0260</t>
        </is>
      </c>
      <c r="B261" s="4" t="inlineStr">
        <is>
          <t>C029</t>
        </is>
      </c>
      <c r="C261" s="4" t="inlineStr">
        <is>
          <t>Pre-run Reconciliation</t>
        </is>
      </c>
      <c r="D261" s="4" t="inlineStr">
        <is>
          <t>Payroll Ops</t>
        </is>
      </c>
      <c r="E261" s="5" t="n">
        <v>46296</v>
      </c>
      <c r="F261" s="4" t="inlineStr">
        <is>
          <t>Pending</t>
        </is>
      </c>
      <c r="G261" s="4">
        <f>IFERROR(INDEX('01_Customer_Tracker'!$B:$B,MATCH(B261,'01_Customer_Tracker'!$A:$A,0)),"")</f>
        <v/>
      </c>
    </row>
    <row r="262">
      <c r="A262" s="4" t="inlineStr">
        <is>
          <t>T0261</t>
        </is>
      </c>
      <c r="B262" s="4" t="inlineStr">
        <is>
          <t>C029</t>
        </is>
      </c>
      <c r="C262" s="4" t="inlineStr">
        <is>
          <t>Customer Approval Sign-off</t>
        </is>
      </c>
      <c r="D262" s="4" t="inlineStr">
        <is>
          <t>Customer</t>
        </is>
      </c>
      <c r="E262" s="5" t="n">
        <v>46300</v>
      </c>
      <c r="F262" s="4" t="inlineStr">
        <is>
          <t>Pending</t>
        </is>
      </c>
      <c r="G262" s="4">
        <f>IFERROR(INDEX('01_Customer_Tracker'!$B:$B,MATCH(B262,'01_Customer_Tracker'!$A:$A,0)),"")</f>
        <v/>
      </c>
    </row>
    <row r="263">
      <c r="A263" s="4" t="inlineStr">
        <is>
          <t>T0262</t>
        </is>
      </c>
      <c r="B263" s="4" t="inlineStr">
        <is>
          <t>C030</t>
        </is>
      </c>
      <c r="C263" s="4" t="inlineStr">
        <is>
          <t>Company Info &amp; KYC</t>
        </is>
      </c>
      <c r="D263" s="4" t="inlineStr">
        <is>
          <t>Customer</t>
        </is>
      </c>
      <c r="E263" s="5" t="n">
        <v>46223</v>
      </c>
      <c r="F263" s="4" t="inlineStr">
        <is>
          <t>Completed</t>
        </is>
      </c>
      <c r="G263" s="4">
        <f>IFERROR(INDEX('01_Customer_Tracker'!$B:$B,MATCH(B263,'01_Customer_Tracker'!$A:$A,0)),"")</f>
        <v/>
      </c>
    </row>
    <row r="264">
      <c r="A264" s="4" t="inlineStr">
        <is>
          <t>T0263</t>
        </is>
      </c>
      <c r="B264" s="4" t="inlineStr">
        <is>
          <t>C030</t>
        </is>
      </c>
      <c r="C264" s="4" t="inlineStr">
        <is>
          <t>Document Collection</t>
        </is>
      </c>
      <c r="D264" s="4" t="inlineStr">
        <is>
          <t>Customer</t>
        </is>
      </c>
      <c r="E264" s="5" t="n">
        <v>46226</v>
      </c>
      <c r="F264" s="4" t="inlineStr">
        <is>
          <t>Completed</t>
        </is>
      </c>
      <c r="G264" s="4">
        <f>IFERROR(INDEX('01_Customer_Tracker'!$B:$B,MATCH(B264,'01_Customer_Tracker'!$A:$A,0)),"")</f>
        <v/>
      </c>
    </row>
    <row r="265">
      <c r="A265" s="4" t="inlineStr">
        <is>
          <t>T0264</t>
        </is>
      </c>
      <c r="B265" s="4" t="inlineStr">
        <is>
          <t>C030</t>
        </is>
      </c>
      <c r="C265" s="4" t="inlineStr">
        <is>
          <t>Employee Data Upload</t>
        </is>
      </c>
      <c r="D265" s="4" t="inlineStr">
        <is>
          <t>Customer</t>
        </is>
      </c>
      <c r="E265" s="5" t="n">
        <v>46230</v>
      </c>
      <c r="F265" s="4" t="inlineStr">
        <is>
          <t>Completed</t>
        </is>
      </c>
      <c r="G265" s="4">
        <f>IFERROR(INDEX('01_Customer_Tracker'!$B:$B,MATCH(B265,'01_Customer_Tracker'!$A:$A,0)),"")</f>
        <v/>
      </c>
    </row>
    <row r="266">
      <c r="A266" s="4" t="inlineStr">
        <is>
          <t>T0265</t>
        </is>
      </c>
      <c r="B266" s="4" t="inlineStr">
        <is>
          <t>C030</t>
        </is>
      </c>
      <c r="C266" s="4" t="inlineStr">
        <is>
          <t>Bank Details Verification</t>
        </is>
      </c>
      <c r="D266" s="4" t="inlineStr">
        <is>
          <t>Ops</t>
        </is>
      </c>
      <c r="E266" s="5" t="n">
        <v>46234</v>
      </c>
      <c r="F266" s="4" t="inlineStr">
        <is>
          <t>Pending</t>
        </is>
      </c>
      <c r="G266" s="4">
        <f>IFERROR(INDEX('01_Customer_Tracker'!$B:$B,MATCH(B266,'01_Customer_Tracker'!$A:$A,0)),"")</f>
        <v/>
      </c>
    </row>
    <row r="267">
      <c r="A267" s="4" t="inlineStr">
        <is>
          <t>T0266</t>
        </is>
      </c>
      <c r="B267" s="4" t="inlineStr">
        <is>
          <t>C030</t>
        </is>
      </c>
      <c r="C267" s="4" t="inlineStr">
        <is>
          <t>PAN / UAN Verification</t>
        </is>
      </c>
      <c r="D267" s="4" t="inlineStr">
        <is>
          <t>Ops</t>
        </is>
      </c>
      <c r="E267" s="5" t="n">
        <v>46236</v>
      </c>
      <c r="F267" s="4" t="inlineStr">
        <is>
          <t>Pending</t>
        </is>
      </c>
      <c r="G267" s="4">
        <f>IFERROR(INDEX('01_Customer_Tracker'!$B:$B,MATCH(B267,'01_Customer_Tracker'!$A:$A,0)),"")</f>
        <v/>
      </c>
    </row>
    <row r="268">
      <c r="A268" s="4" t="inlineStr">
        <is>
          <t>T0267</t>
        </is>
      </c>
      <c r="B268" s="4" t="inlineStr">
        <is>
          <t>C030</t>
        </is>
      </c>
      <c r="C268" s="4" t="inlineStr">
        <is>
          <t>Attendance &amp; Leave Config</t>
        </is>
      </c>
      <c r="D268" s="4" t="inlineStr">
        <is>
          <t>Payroll Ops</t>
        </is>
      </c>
      <c r="E268" s="5" t="n">
        <v>46240</v>
      </c>
      <c r="F268" s="4" t="inlineStr">
        <is>
          <t>Pending</t>
        </is>
      </c>
      <c r="G268" s="4">
        <f>IFERROR(INDEX('01_Customer_Tracker'!$B:$B,MATCH(B268,'01_Customer_Tracker'!$A:$A,0)),"")</f>
        <v/>
      </c>
    </row>
    <row r="269">
      <c r="A269" s="4" t="inlineStr">
        <is>
          <t>T0268</t>
        </is>
      </c>
      <c r="B269" s="4" t="inlineStr">
        <is>
          <t>C030</t>
        </is>
      </c>
      <c r="C269" s="4" t="inlineStr">
        <is>
          <t>Salary Structure Mapping</t>
        </is>
      </c>
      <c r="D269" s="4" t="inlineStr">
        <is>
          <t>Payroll Ops</t>
        </is>
      </c>
      <c r="E269" s="5" t="n">
        <v>46243</v>
      </c>
      <c r="F269" s="4" t="inlineStr">
        <is>
          <t>Pending</t>
        </is>
      </c>
      <c r="G269" s="4">
        <f>IFERROR(INDEX('01_Customer_Tracker'!$B:$B,MATCH(B269,'01_Customer_Tracker'!$A:$A,0)),"")</f>
        <v/>
      </c>
    </row>
    <row r="270">
      <c r="A270" s="4" t="inlineStr">
        <is>
          <t>T0269</t>
        </is>
      </c>
      <c r="B270" s="4" t="inlineStr">
        <is>
          <t>C030</t>
        </is>
      </c>
      <c r="C270" s="4" t="inlineStr">
        <is>
          <t>Pre-run Reconciliation</t>
        </is>
      </c>
      <c r="D270" s="4" t="inlineStr">
        <is>
          <t>Payroll Ops</t>
        </is>
      </c>
      <c r="E270" s="5" t="n">
        <v>46248</v>
      </c>
      <c r="F270" s="4" t="inlineStr">
        <is>
          <t>Pending</t>
        </is>
      </c>
      <c r="G270" s="4">
        <f>IFERROR(INDEX('01_Customer_Tracker'!$B:$B,MATCH(B270,'01_Customer_Tracker'!$A:$A,0)),"")</f>
        <v/>
      </c>
    </row>
    <row r="271">
      <c r="A271" s="4" t="inlineStr">
        <is>
          <t>T0270</t>
        </is>
      </c>
      <c r="B271" s="4" t="inlineStr">
        <is>
          <t>C030</t>
        </is>
      </c>
      <c r="C271" s="4" t="inlineStr">
        <is>
          <t>Customer Approval Sign-off</t>
        </is>
      </c>
      <c r="D271" s="4" t="inlineStr">
        <is>
          <t>Customer</t>
        </is>
      </c>
      <c r="E271" s="5" t="n">
        <v>46252</v>
      </c>
      <c r="F271" s="4" t="inlineStr">
        <is>
          <t>Pending</t>
        </is>
      </c>
      <c r="G271" s="4">
        <f>IFERROR(INDEX('01_Customer_Tracker'!$B:$B,MATCH(B271,'01_Customer_Tracker'!$A:$A,0)),"")</f>
        <v/>
      </c>
    </row>
    <row r="272">
      <c r="A272" s="4" t="inlineStr">
        <is>
          <t>T0271</t>
        </is>
      </c>
      <c r="B272" s="4" t="inlineStr">
        <is>
          <t>C031</t>
        </is>
      </c>
      <c r="C272" s="4" t="inlineStr">
        <is>
          <t>Company Info &amp; KYC</t>
        </is>
      </c>
      <c r="D272" s="4" t="inlineStr">
        <is>
          <t>Customer</t>
        </is>
      </c>
      <c r="E272" s="5" t="n">
        <v>46275</v>
      </c>
      <c r="F272" s="4" t="inlineStr">
        <is>
          <t>Completed</t>
        </is>
      </c>
      <c r="G272" s="4">
        <f>IFERROR(INDEX('01_Customer_Tracker'!$B:$B,MATCH(B272,'01_Customer_Tracker'!$A:$A,0)),"")</f>
        <v/>
      </c>
    </row>
    <row r="273">
      <c r="A273" s="4" t="inlineStr">
        <is>
          <t>T0272</t>
        </is>
      </c>
      <c r="B273" s="4" t="inlineStr">
        <is>
          <t>C031</t>
        </is>
      </c>
      <c r="C273" s="4" t="inlineStr">
        <is>
          <t>Document Collection</t>
        </is>
      </c>
      <c r="D273" s="4" t="inlineStr">
        <is>
          <t>Customer</t>
        </is>
      </c>
      <c r="E273" s="5" t="n">
        <v>46278</v>
      </c>
      <c r="F273" s="4" t="inlineStr">
        <is>
          <t>Completed</t>
        </is>
      </c>
      <c r="G273" s="4">
        <f>IFERROR(INDEX('01_Customer_Tracker'!$B:$B,MATCH(B273,'01_Customer_Tracker'!$A:$A,0)),"")</f>
        <v/>
      </c>
    </row>
    <row r="274">
      <c r="A274" s="4" t="inlineStr">
        <is>
          <t>T0273</t>
        </is>
      </c>
      <c r="B274" s="4" t="inlineStr">
        <is>
          <t>C031</t>
        </is>
      </c>
      <c r="C274" s="4" t="inlineStr">
        <is>
          <t>Employee Data Upload</t>
        </is>
      </c>
      <c r="D274" s="4" t="inlineStr">
        <is>
          <t>Customer</t>
        </is>
      </c>
      <c r="E274" s="5" t="n">
        <v>46282</v>
      </c>
      <c r="F274" s="4" t="inlineStr">
        <is>
          <t>Completed</t>
        </is>
      </c>
      <c r="G274" s="4">
        <f>IFERROR(INDEX('01_Customer_Tracker'!$B:$B,MATCH(B274,'01_Customer_Tracker'!$A:$A,0)),"")</f>
        <v/>
      </c>
    </row>
    <row r="275">
      <c r="A275" s="4" t="inlineStr">
        <is>
          <t>T0274</t>
        </is>
      </c>
      <c r="B275" s="4" t="inlineStr">
        <is>
          <t>C031</t>
        </is>
      </c>
      <c r="C275" s="4" t="inlineStr">
        <is>
          <t>Bank Details Verification</t>
        </is>
      </c>
      <c r="D275" s="4" t="inlineStr">
        <is>
          <t>Ops</t>
        </is>
      </c>
      <c r="E275" s="5" t="n">
        <v>46286</v>
      </c>
      <c r="F275" s="4" t="inlineStr">
        <is>
          <t>Pending</t>
        </is>
      </c>
      <c r="G275" s="4">
        <f>IFERROR(INDEX('01_Customer_Tracker'!$B:$B,MATCH(B275,'01_Customer_Tracker'!$A:$A,0)),"")</f>
        <v/>
      </c>
    </row>
    <row r="276">
      <c r="A276" s="4" t="inlineStr">
        <is>
          <t>T0275</t>
        </is>
      </c>
      <c r="B276" s="4" t="inlineStr">
        <is>
          <t>C031</t>
        </is>
      </c>
      <c r="C276" s="4" t="inlineStr">
        <is>
          <t>PAN / UAN Verification</t>
        </is>
      </c>
      <c r="D276" s="4" t="inlineStr">
        <is>
          <t>Ops</t>
        </is>
      </c>
      <c r="E276" s="5" t="n">
        <v>46288</v>
      </c>
      <c r="F276" s="4" t="inlineStr">
        <is>
          <t>Pending</t>
        </is>
      </c>
      <c r="G276" s="4">
        <f>IFERROR(INDEX('01_Customer_Tracker'!$B:$B,MATCH(B276,'01_Customer_Tracker'!$A:$A,0)),"")</f>
        <v/>
      </c>
    </row>
    <row r="277">
      <c r="A277" s="4" t="inlineStr">
        <is>
          <t>T0276</t>
        </is>
      </c>
      <c r="B277" s="4" t="inlineStr">
        <is>
          <t>C031</t>
        </is>
      </c>
      <c r="C277" s="4" t="inlineStr">
        <is>
          <t>Attendance &amp; Leave Config</t>
        </is>
      </c>
      <c r="D277" s="4" t="inlineStr">
        <is>
          <t>Payroll Ops</t>
        </is>
      </c>
      <c r="E277" s="5" t="n">
        <v>46292</v>
      </c>
      <c r="F277" s="4" t="inlineStr">
        <is>
          <t>Pending</t>
        </is>
      </c>
      <c r="G277" s="4">
        <f>IFERROR(INDEX('01_Customer_Tracker'!$B:$B,MATCH(B277,'01_Customer_Tracker'!$A:$A,0)),"")</f>
        <v/>
      </c>
    </row>
    <row r="278">
      <c r="A278" s="4" t="inlineStr">
        <is>
          <t>T0277</t>
        </is>
      </c>
      <c r="B278" s="4" t="inlineStr">
        <is>
          <t>C031</t>
        </is>
      </c>
      <c r="C278" s="4" t="inlineStr">
        <is>
          <t>Salary Structure Mapping</t>
        </is>
      </c>
      <c r="D278" s="4" t="inlineStr">
        <is>
          <t>Payroll Ops</t>
        </is>
      </c>
      <c r="E278" s="5" t="n">
        <v>46295</v>
      </c>
      <c r="F278" s="4" t="inlineStr">
        <is>
          <t>Pending</t>
        </is>
      </c>
      <c r="G278" s="4">
        <f>IFERROR(INDEX('01_Customer_Tracker'!$B:$B,MATCH(B278,'01_Customer_Tracker'!$A:$A,0)),"")</f>
        <v/>
      </c>
    </row>
    <row r="279">
      <c r="A279" s="4" t="inlineStr">
        <is>
          <t>T0278</t>
        </is>
      </c>
      <c r="B279" s="4" t="inlineStr">
        <is>
          <t>C031</t>
        </is>
      </c>
      <c r="C279" s="4" t="inlineStr">
        <is>
          <t>Pre-run Reconciliation</t>
        </is>
      </c>
      <c r="D279" s="4" t="inlineStr">
        <is>
          <t>Payroll Ops</t>
        </is>
      </c>
      <c r="E279" s="5" t="n">
        <v>46300</v>
      </c>
      <c r="F279" s="4" t="inlineStr">
        <is>
          <t>Pending</t>
        </is>
      </c>
      <c r="G279" s="4">
        <f>IFERROR(INDEX('01_Customer_Tracker'!$B:$B,MATCH(B279,'01_Customer_Tracker'!$A:$A,0)),"")</f>
        <v/>
      </c>
    </row>
    <row r="280">
      <c r="A280" s="4" t="inlineStr">
        <is>
          <t>T0279</t>
        </is>
      </c>
      <c r="B280" s="4" t="inlineStr">
        <is>
          <t>C031</t>
        </is>
      </c>
      <c r="C280" s="4" t="inlineStr">
        <is>
          <t>Customer Approval Sign-off</t>
        </is>
      </c>
      <c r="D280" s="4" t="inlineStr">
        <is>
          <t>Customer</t>
        </is>
      </c>
      <c r="E280" s="5" t="n">
        <v>46304</v>
      </c>
      <c r="F280" s="4" t="inlineStr">
        <is>
          <t>Pending</t>
        </is>
      </c>
      <c r="G280" s="4">
        <f>IFERROR(INDEX('01_Customer_Tracker'!$B:$B,MATCH(B280,'01_Customer_Tracker'!$A:$A,0)),"")</f>
        <v/>
      </c>
    </row>
    <row r="281">
      <c r="A281" s="4" t="inlineStr">
        <is>
          <t>T0280</t>
        </is>
      </c>
      <c r="B281" s="4" t="inlineStr">
        <is>
          <t>C032</t>
        </is>
      </c>
      <c r="C281" s="4" t="inlineStr">
        <is>
          <t>Company Info &amp; KYC</t>
        </is>
      </c>
      <c r="D281" s="4" t="inlineStr">
        <is>
          <t>Customer</t>
        </is>
      </c>
      <c r="E281" s="5" t="n">
        <v>46268</v>
      </c>
      <c r="F281" s="4" t="inlineStr">
        <is>
          <t>Completed</t>
        </is>
      </c>
      <c r="G281" s="4">
        <f>IFERROR(INDEX('01_Customer_Tracker'!$B:$B,MATCH(B281,'01_Customer_Tracker'!$A:$A,0)),"")</f>
        <v/>
      </c>
    </row>
    <row r="282">
      <c r="A282" s="4" t="inlineStr">
        <is>
          <t>T0281</t>
        </is>
      </c>
      <c r="B282" s="4" t="inlineStr">
        <is>
          <t>C032</t>
        </is>
      </c>
      <c r="C282" s="4" t="inlineStr">
        <is>
          <t>Document Collection</t>
        </is>
      </c>
      <c r="D282" s="4" t="inlineStr">
        <is>
          <t>Customer</t>
        </is>
      </c>
      <c r="E282" s="5" t="n">
        <v>46271</v>
      </c>
      <c r="F282" s="4" t="inlineStr">
        <is>
          <t>Completed</t>
        </is>
      </c>
      <c r="G282" s="4">
        <f>IFERROR(INDEX('01_Customer_Tracker'!$B:$B,MATCH(B282,'01_Customer_Tracker'!$A:$A,0)),"")</f>
        <v/>
      </c>
    </row>
    <row r="283">
      <c r="A283" s="4" t="inlineStr">
        <is>
          <t>T0282</t>
        </is>
      </c>
      <c r="B283" s="4" t="inlineStr">
        <is>
          <t>C032</t>
        </is>
      </c>
      <c r="C283" s="4" t="inlineStr">
        <is>
          <t>Employee Data Upload</t>
        </is>
      </c>
      <c r="D283" s="4" t="inlineStr">
        <is>
          <t>Customer</t>
        </is>
      </c>
      <c r="E283" s="5" t="n">
        <v>46275</v>
      </c>
      <c r="F283" s="4" t="inlineStr">
        <is>
          <t>Completed</t>
        </is>
      </c>
      <c r="G283" s="4">
        <f>IFERROR(INDEX('01_Customer_Tracker'!$B:$B,MATCH(B283,'01_Customer_Tracker'!$A:$A,0)),"")</f>
        <v/>
      </c>
    </row>
    <row r="284">
      <c r="A284" s="4" t="inlineStr">
        <is>
          <t>T0283</t>
        </is>
      </c>
      <c r="B284" s="4" t="inlineStr">
        <is>
          <t>C032</t>
        </is>
      </c>
      <c r="C284" s="4" t="inlineStr">
        <is>
          <t>Bank Details Verification</t>
        </is>
      </c>
      <c r="D284" s="4" t="inlineStr">
        <is>
          <t>Ops</t>
        </is>
      </c>
      <c r="E284" s="5" t="n">
        <v>46279</v>
      </c>
      <c r="F284" s="4" t="inlineStr">
        <is>
          <t>Completed</t>
        </is>
      </c>
      <c r="G284" s="4">
        <f>IFERROR(INDEX('01_Customer_Tracker'!$B:$B,MATCH(B284,'01_Customer_Tracker'!$A:$A,0)),"")</f>
        <v/>
      </c>
    </row>
    <row r="285">
      <c r="A285" s="4" t="inlineStr">
        <is>
          <t>T0284</t>
        </is>
      </c>
      <c r="B285" s="4" t="inlineStr">
        <is>
          <t>C032</t>
        </is>
      </c>
      <c r="C285" s="4" t="inlineStr">
        <is>
          <t>PAN / UAN Verification</t>
        </is>
      </c>
      <c r="D285" s="4" t="inlineStr">
        <is>
          <t>Ops</t>
        </is>
      </c>
      <c r="E285" s="5" t="n">
        <v>46281</v>
      </c>
      <c r="F285" s="4" t="inlineStr">
        <is>
          <t>Completed</t>
        </is>
      </c>
      <c r="G285" s="4">
        <f>IFERROR(INDEX('01_Customer_Tracker'!$B:$B,MATCH(B285,'01_Customer_Tracker'!$A:$A,0)),"")</f>
        <v/>
      </c>
    </row>
    <row r="286">
      <c r="A286" s="4" t="inlineStr">
        <is>
          <t>T0285</t>
        </is>
      </c>
      <c r="B286" s="4" t="inlineStr">
        <is>
          <t>C032</t>
        </is>
      </c>
      <c r="C286" s="4" t="inlineStr">
        <is>
          <t>Attendance &amp; Leave Config</t>
        </is>
      </c>
      <c r="D286" s="4" t="inlineStr">
        <is>
          <t>Payroll Ops</t>
        </is>
      </c>
      <c r="E286" s="5" t="n">
        <v>46285</v>
      </c>
      <c r="F286" s="4" t="inlineStr">
        <is>
          <t>Completed</t>
        </is>
      </c>
      <c r="G286" s="4">
        <f>IFERROR(INDEX('01_Customer_Tracker'!$B:$B,MATCH(B286,'01_Customer_Tracker'!$A:$A,0)),"")</f>
        <v/>
      </c>
    </row>
    <row r="287">
      <c r="A287" s="4" t="inlineStr">
        <is>
          <t>T0286</t>
        </is>
      </c>
      <c r="B287" s="4" t="inlineStr">
        <is>
          <t>C032</t>
        </is>
      </c>
      <c r="C287" s="4" t="inlineStr">
        <is>
          <t>Salary Structure Mapping</t>
        </is>
      </c>
      <c r="D287" s="4" t="inlineStr">
        <is>
          <t>Payroll Ops</t>
        </is>
      </c>
      <c r="E287" s="5" t="n">
        <v>46288</v>
      </c>
      <c r="F287" s="4" t="inlineStr">
        <is>
          <t>Completed</t>
        </is>
      </c>
      <c r="G287" s="4">
        <f>IFERROR(INDEX('01_Customer_Tracker'!$B:$B,MATCH(B287,'01_Customer_Tracker'!$A:$A,0)),"")</f>
        <v/>
      </c>
    </row>
    <row r="288">
      <c r="A288" s="4" t="inlineStr">
        <is>
          <t>T0287</t>
        </is>
      </c>
      <c r="B288" s="4" t="inlineStr">
        <is>
          <t>C032</t>
        </is>
      </c>
      <c r="C288" s="4" t="inlineStr">
        <is>
          <t>Pre-run Reconciliation</t>
        </is>
      </c>
      <c r="D288" s="4" t="inlineStr">
        <is>
          <t>Payroll Ops</t>
        </is>
      </c>
      <c r="E288" s="5" t="n">
        <v>46293</v>
      </c>
      <c r="F288" s="4" t="inlineStr">
        <is>
          <t>Completed</t>
        </is>
      </c>
      <c r="G288" s="4">
        <f>IFERROR(INDEX('01_Customer_Tracker'!$B:$B,MATCH(B288,'01_Customer_Tracker'!$A:$A,0)),"")</f>
        <v/>
      </c>
    </row>
    <row r="289">
      <c r="A289" s="4" t="inlineStr">
        <is>
          <t>T0288</t>
        </is>
      </c>
      <c r="B289" s="4" t="inlineStr">
        <is>
          <t>C032</t>
        </is>
      </c>
      <c r="C289" s="4" t="inlineStr">
        <is>
          <t>Customer Approval Sign-off</t>
        </is>
      </c>
      <c r="D289" s="4" t="inlineStr">
        <is>
          <t>Customer</t>
        </is>
      </c>
      <c r="E289" s="5" t="n">
        <v>46297</v>
      </c>
      <c r="F289" s="4" t="inlineStr">
        <is>
          <t>Pending</t>
        </is>
      </c>
      <c r="G289" s="4">
        <f>IFERROR(INDEX('01_Customer_Tracker'!$B:$B,MATCH(B289,'01_Customer_Tracker'!$A:$A,0)),"")</f>
        <v/>
      </c>
    </row>
    <row r="290">
      <c r="A290" s="4" t="inlineStr">
        <is>
          <t>T0289</t>
        </is>
      </c>
      <c r="B290" s="4" t="inlineStr">
        <is>
          <t>C033</t>
        </is>
      </c>
      <c r="C290" s="4" t="inlineStr">
        <is>
          <t>Company Info &amp; KYC</t>
        </is>
      </c>
      <c r="D290" s="4" t="inlineStr">
        <is>
          <t>Customer</t>
        </is>
      </c>
      <c r="E290" s="5" t="n">
        <v>46236</v>
      </c>
      <c r="F290" s="4" t="inlineStr">
        <is>
          <t>Completed</t>
        </is>
      </c>
      <c r="G290" s="4">
        <f>IFERROR(INDEX('01_Customer_Tracker'!$B:$B,MATCH(B290,'01_Customer_Tracker'!$A:$A,0)),"")</f>
        <v/>
      </c>
    </row>
    <row r="291">
      <c r="A291" s="4" t="inlineStr">
        <is>
          <t>T0290</t>
        </is>
      </c>
      <c r="B291" s="4" t="inlineStr">
        <is>
          <t>C033</t>
        </is>
      </c>
      <c r="C291" s="4" t="inlineStr">
        <is>
          <t>Document Collection</t>
        </is>
      </c>
      <c r="D291" s="4" t="inlineStr">
        <is>
          <t>Customer</t>
        </is>
      </c>
      <c r="E291" s="5" t="n">
        <v>46239</v>
      </c>
      <c r="F291" s="4" t="inlineStr">
        <is>
          <t>Completed</t>
        </is>
      </c>
      <c r="G291" s="4">
        <f>IFERROR(INDEX('01_Customer_Tracker'!$B:$B,MATCH(B291,'01_Customer_Tracker'!$A:$A,0)),"")</f>
        <v/>
      </c>
    </row>
    <row r="292">
      <c r="A292" s="4" t="inlineStr">
        <is>
          <t>T0291</t>
        </is>
      </c>
      <c r="B292" s="4" t="inlineStr">
        <is>
          <t>C033</t>
        </is>
      </c>
      <c r="C292" s="4" t="inlineStr">
        <is>
          <t>Employee Data Upload</t>
        </is>
      </c>
      <c r="D292" s="4" t="inlineStr">
        <is>
          <t>Customer</t>
        </is>
      </c>
      <c r="E292" s="5" t="n">
        <v>46243</v>
      </c>
      <c r="F292" s="4" t="inlineStr">
        <is>
          <t>Blocked</t>
        </is>
      </c>
      <c r="G292" s="4">
        <f>IFERROR(INDEX('01_Customer_Tracker'!$B:$B,MATCH(B292,'01_Customer_Tracker'!$A:$A,0)),"")</f>
        <v/>
      </c>
    </row>
    <row r="293">
      <c r="A293" s="4" t="inlineStr">
        <is>
          <t>T0292</t>
        </is>
      </c>
      <c r="B293" s="4" t="inlineStr">
        <is>
          <t>C033</t>
        </is>
      </c>
      <c r="C293" s="4" t="inlineStr">
        <is>
          <t>Bank Details Verification</t>
        </is>
      </c>
      <c r="D293" s="4" t="inlineStr">
        <is>
          <t>Ops</t>
        </is>
      </c>
      <c r="E293" s="5" t="n">
        <v>46247</v>
      </c>
      <c r="F293" s="4" t="inlineStr">
        <is>
          <t>Blocked</t>
        </is>
      </c>
      <c r="G293" s="4">
        <f>IFERROR(INDEX('01_Customer_Tracker'!$B:$B,MATCH(B293,'01_Customer_Tracker'!$A:$A,0)),"")</f>
        <v/>
      </c>
    </row>
    <row r="294">
      <c r="A294" s="4" t="inlineStr">
        <is>
          <t>T0293</t>
        </is>
      </c>
      <c r="B294" s="4" t="inlineStr">
        <is>
          <t>C033</t>
        </is>
      </c>
      <c r="C294" s="4" t="inlineStr">
        <is>
          <t>PAN / UAN Verification</t>
        </is>
      </c>
      <c r="D294" s="4" t="inlineStr">
        <is>
          <t>Ops</t>
        </is>
      </c>
      <c r="E294" s="5" t="n">
        <v>46249</v>
      </c>
      <c r="F294" s="4" t="inlineStr">
        <is>
          <t>Pending</t>
        </is>
      </c>
      <c r="G294" s="4">
        <f>IFERROR(INDEX('01_Customer_Tracker'!$B:$B,MATCH(B294,'01_Customer_Tracker'!$A:$A,0)),"")</f>
        <v/>
      </c>
    </row>
    <row r="295">
      <c r="A295" s="4" t="inlineStr">
        <is>
          <t>T0294</t>
        </is>
      </c>
      <c r="B295" s="4" t="inlineStr">
        <is>
          <t>C033</t>
        </is>
      </c>
      <c r="C295" s="4" t="inlineStr">
        <is>
          <t>Attendance &amp; Leave Config</t>
        </is>
      </c>
      <c r="D295" s="4" t="inlineStr">
        <is>
          <t>Payroll Ops</t>
        </is>
      </c>
      <c r="E295" s="5" t="n">
        <v>46253</v>
      </c>
      <c r="F295" s="4" t="inlineStr">
        <is>
          <t>Pending</t>
        </is>
      </c>
      <c r="G295" s="4">
        <f>IFERROR(INDEX('01_Customer_Tracker'!$B:$B,MATCH(B295,'01_Customer_Tracker'!$A:$A,0)),"")</f>
        <v/>
      </c>
    </row>
    <row r="296">
      <c r="A296" s="4" t="inlineStr">
        <is>
          <t>T0295</t>
        </is>
      </c>
      <c r="B296" s="4" t="inlineStr">
        <is>
          <t>C033</t>
        </is>
      </c>
      <c r="C296" s="4" t="inlineStr">
        <is>
          <t>Salary Structure Mapping</t>
        </is>
      </c>
      <c r="D296" s="4" t="inlineStr">
        <is>
          <t>Payroll Ops</t>
        </is>
      </c>
      <c r="E296" s="5" t="n">
        <v>46256</v>
      </c>
      <c r="F296" s="4" t="inlineStr">
        <is>
          <t>Pending</t>
        </is>
      </c>
      <c r="G296" s="4">
        <f>IFERROR(INDEX('01_Customer_Tracker'!$B:$B,MATCH(B296,'01_Customer_Tracker'!$A:$A,0)),"")</f>
        <v/>
      </c>
    </row>
    <row r="297">
      <c r="A297" s="4" t="inlineStr">
        <is>
          <t>T0296</t>
        </is>
      </c>
      <c r="B297" s="4" t="inlineStr">
        <is>
          <t>C033</t>
        </is>
      </c>
      <c r="C297" s="4" t="inlineStr">
        <is>
          <t>Pre-run Reconciliation</t>
        </is>
      </c>
      <c r="D297" s="4" t="inlineStr">
        <is>
          <t>Payroll Ops</t>
        </is>
      </c>
      <c r="E297" s="5" t="n">
        <v>46261</v>
      </c>
      <c r="F297" s="4" t="inlineStr">
        <is>
          <t>Pending</t>
        </is>
      </c>
      <c r="G297" s="4">
        <f>IFERROR(INDEX('01_Customer_Tracker'!$B:$B,MATCH(B297,'01_Customer_Tracker'!$A:$A,0)),"")</f>
        <v/>
      </c>
    </row>
    <row r="298">
      <c r="A298" s="4" t="inlineStr">
        <is>
          <t>T0297</t>
        </is>
      </c>
      <c r="B298" s="4" t="inlineStr">
        <is>
          <t>C033</t>
        </is>
      </c>
      <c r="C298" s="4" t="inlineStr">
        <is>
          <t>Customer Approval Sign-off</t>
        </is>
      </c>
      <c r="D298" s="4" t="inlineStr">
        <is>
          <t>Customer</t>
        </is>
      </c>
      <c r="E298" s="5" t="n">
        <v>46265</v>
      </c>
      <c r="F298" s="4" t="inlineStr">
        <is>
          <t>Pending</t>
        </is>
      </c>
      <c r="G298" s="4">
        <f>IFERROR(INDEX('01_Customer_Tracker'!$B:$B,MATCH(B298,'01_Customer_Tracker'!$A:$A,0)),"")</f>
        <v/>
      </c>
    </row>
    <row r="299">
      <c r="A299" s="4" t="inlineStr">
        <is>
          <t>T0298</t>
        </is>
      </c>
      <c r="B299" s="4" t="inlineStr">
        <is>
          <t>C034</t>
        </is>
      </c>
      <c r="C299" s="4" t="inlineStr">
        <is>
          <t>Company Info &amp; KYC</t>
        </is>
      </c>
      <c r="D299" s="4" t="inlineStr">
        <is>
          <t>Customer</t>
        </is>
      </c>
      <c r="E299" s="5" t="n">
        <v>46255</v>
      </c>
      <c r="F299" s="4" t="inlineStr">
        <is>
          <t>Completed</t>
        </is>
      </c>
      <c r="G299" s="4">
        <f>IFERROR(INDEX('01_Customer_Tracker'!$B:$B,MATCH(B299,'01_Customer_Tracker'!$A:$A,0)),"")</f>
        <v/>
      </c>
    </row>
    <row r="300">
      <c r="A300" s="4" t="inlineStr">
        <is>
          <t>T0299</t>
        </is>
      </c>
      <c r="B300" s="4" t="inlineStr">
        <is>
          <t>C034</t>
        </is>
      </c>
      <c r="C300" s="4" t="inlineStr">
        <is>
          <t>Document Collection</t>
        </is>
      </c>
      <c r="D300" s="4" t="inlineStr">
        <is>
          <t>Customer</t>
        </is>
      </c>
      <c r="E300" s="5" t="n">
        <v>46258</v>
      </c>
      <c r="F300" s="4" t="inlineStr">
        <is>
          <t>Completed</t>
        </is>
      </c>
      <c r="G300" s="4">
        <f>IFERROR(INDEX('01_Customer_Tracker'!$B:$B,MATCH(B300,'01_Customer_Tracker'!$A:$A,0)),"")</f>
        <v/>
      </c>
    </row>
    <row r="301">
      <c r="A301" s="4" t="inlineStr">
        <is>
          <t>T0300</t>
        </is>
      </c>
      <c r="B301" s="4" t="inlineStr">
        <is>
          <t>C034</t>
        </is>
      </c>
      <c r="C301" s="4" t="inlineStr">
        <is>
          <t>Employee Data Upload</t>
        </is>
      </c>
      <c r="D301" s="4" t="inlineStr">
        <is>
          <t>Customer</t>
        </is>
      </c>
      <c r="E301" s="5" t="n">
        <v>46262</v>
      </c>
      <c r="F301" s="4" t="inlineStr">
        <is>
          <t>Completed</t>
        </is>
      </c>
      <c r="G301" s="4">
        <f>IFERROR(INDEX('01_Customer_Tracker'!$B:$B,MATCH(B301,'01_Customer_Tracker'!$A:$A,0)),"")</f>
        <v/>
      </c>
    </row>
    <row r="302">
      <c r="A302" s="4" t="inlineStr">
        <is>
          <t>T0301</t>
        </is>
      </c>
      <c r="B302" s="4" t="inlineStr">
        <is>
          <t>C034</t>
        </is>
      </c>
      <c r="C302" s="4" t="inlineStr">
        <is>
          <t>Bank Details Verification</t>
        </is>
      </c>
      <c r="D302" s="4" t="inlineStr">
        <is>
          <t>Ops</t>
        </is>
      </c>
      <c r="E302" s="5" t="n">
        <v>46266</v>
      </c>
      <c r="F302" s="4" t="inlineStr">
        <is>
          <t>Completed</t>
        </is>
      </c>
      <c r="G302" s="4">
        <f>IFERROR(INDEX('01_Customer_Tracker'!$B:$B,MATCH(B302,'01_Customer_Tracker'!$A:$A,0)),"")</f>
        <v/>
      </c>
    </row>
    <row r="303">
      <c r="A303" s="4" t="inlineStr">
        <is>
          <t>T0302</t>
        </is>
      </c>
      <c r="B303" s="4" t="inlineStr">
        <is>
          <t>C034</t>
        </is>
      </c>
      <c r="C303" s="4" t="inlineStr">
        <is>
          <t>PAN / UAN Verification</t>
        </is>
      </c>
      <c r="D303" s="4" t="inlineStr">
        <is>
          <t>Ops</t>
        </is>
      </c>
      <c r="E303" s="5" t="n">
        <v>46268</v>
      </c>
      <c r="F303" s="4" t="inlineStr">
        <is>
          <t>Completed</t>
        </is>
      </c>
      <c r="G303" s="4">
        <f>IFERROR(INDEX('01_Customer_Tracker'!$B:$B,MATCH(B303,'01_Customer_Tracker'!$A:$A,0)),"")</f>
        <v/>
      </c>
    </row>
    <row r="304">
      <c r="A304" s="4" t="inlineStr">
        <is>
          <t>T0303</t>
        </is>
      </c>
      <c r="B304" s="4" t="inlineStr">
        <is>
          <t>C034</t>
        </is>
      </c>
      <c r="C304" s="4" t="inlineStr">
        <is>
          <t>Attendance &amp; Leave Config</t>
        </is>
      </c>
      <c r="D304" s="4" t="inlineStr">
        <is>
          <t>Payroll Ops</t>
        </is>
      </c>
      <c r="E304" s="5" t="n">
        <v>46272</v>
      </c>
      <c r="F304" s="4" t="inlineStr">
        <is>
          <t>Completed</t>
        </is>
      </c>
      <c r="G304" s="4">
        <f>IFERROR(INDEX('01_Customer_Tracker'!$B:$B,MATCH(B304,'01_Customer_Tracker'!$A:$A,0)),"")</f>
        <v/>
      </c>
    </row>
    <row r="305">
      <c r="A305" s="4" t="inlineStr">
        <is>
          <t>T0304</t>
        </is>
      </c>
      <c r="B305" s="4" t="inlineStr">
        <is>
          <t>C034</t>
        </is>
      </c>
      <c r="C305" s="4" t="inlineStr">
        <is>
          <t>Salary Structure Mapping</t>
        </is>
      </c>
      <c r="D305" s="4" t="inlineStr">
        <is>
          <t>Payroll Ops</t>
        </is>
      </c>
      <c r="E305" s="5" t="n">
        <v>46275</v>
      </c>
      <c r="F305" s="4" t="inlineStr">
        <is>
          <t>Completed</t>
        </is>
      </c>
      <c r="G305" s="4">
        <f>IFERROR(INDEX('01_Customer_Tracker'!$B:$B,MATCH(B305,'01_Customer_Tracker'!$A:$A,0)),"")</f>
        <v/>
      </c>
    </row>
    <row r="306">
      <c r="A306" s="4" t="inlineStr">
        <is>
          <t>T0305</t>
        </is>
      </c>
      <c r="B306" s="4" t="inlineStr">
        <is>
          <t>C034</t>
        </is>
      </c>
      <c r="C306" s="4" t="inlineStr">
        <is>
          <t>Pre-run Reconciliation</t>
        </is>
      </c>
      <c r="D306" s="4" t="inlineStr">
        <is>
          <t>Payroll Ops</t>
        </is>
      </c>
      <c r="E306" s="5" t="n">
        <v>46280</v>
      </c>
      <c r="F306" s="4" t="inlineStr">
        <is>
          <t>Completed</t>
        </is>
      </c>
      <c r="G306" s="4">
        <f>IFERROR(INDEX('01_Customer_Tracker'!$B:$B,MATCH(B306,'01_Customer_Tracker'!$A:$A,0)),"")</f>
        <v/>
      </c>
    </row>
    <row r="307">
      <c r="A307" s="4" t="inlineStr">
        <is>
          <t>T0306</t>
        </is>
      </c>
      <c r="B307" s="4" t="inlineStr">
        <is>
          <t>C034</t>
        </is>
      </c>
      <c r="C307" s="4" t="inlineStr">
        <is>
          <t>Customer Approval Sign-off</t>
        </is>
      </c>
      <c r="D307" s="4" t="inlineStr">
        <is>
          <t>Customer</t>
        </is>
      </c>
      <c r="E307" s="5" t="n">
        <v>46284</v>
      </c>
      <c r="F307" s="4" t="inlineStr">
        <is>
          <t>Completed</t>
        </is>
      </c>
      <c r="G307" s="4">
        <f>IFERROR(INDEX('01_Customer_Tracker'!$B:$B,MATCH(B307,'01_Customer_Tracker'!$A:$A,0)),"")</f>
        <v/>
      </c>
    </row>
    <row r="308">
      <c r="A308" s="4" t="inlineStr">
        <is>
          <t>T0307</t>
        </is>
      </c>
      <c r="B308" s="4" t="inlineStr">
        <is>
          <t>C035</t>
        </is>
      </c>
      <c r="C308" s="4" t="inlineStr">
        <is>
          <t>Company Info &amp; KYC</t>
        </is>
      </c>
      <c r="D308" s="4" t="inlineStr">
        <is>
          <t>Customer</t>
        </is>
      </c>
      <c r="E308" s="5" t="n">
        <v>46234</v>
      </c>
      <c r="F308" s="4" t="inlineStr">
        <is>
          <t>Completed</t>
        </is>
      </c>
      <c r="G308" s="4">
        <f>IFERROR(INDEX('01_Customer_Tracker'!$B:$B,MATCH(B308,'01_Customer_Tracker'!$A:$A,0)),"")</f>
        <v/>
      </c>
    </row>
    <row r="309">
      <c r="A309" s="4" t="inlineStr">
        <is>
          <t>T0308</t>
        </is>
      </c>
      <c r="B309" s="4" t="inlineStr">
        <is>
          <t>C035</t>
        </is>
      </c>
      <c r="C309" s="4" t="inlineStr">
        <is>
          <t>Document Collection</t>
        </is>
      </c>
      <c r="D309" s="4" t="inlineStr">
        <is>
          <t>Customer</t>
        </is>
      </c>
      <c r="E309" s="5" t="n">
        <v>46237</v>
      </c>
      <c r="F309" s="4" t="inlineStr">
        <is>
          <t>Completed</t>
        </is>
      </c>
      <c r="G309" s="4">
        <f>IFERROR(INDEX('01_Customer_Tracker'!$B:$B,MATCH(B309,'01_Customer_Tracker'!$A:$A,0)),"")</f>
        <v/>
      </c>
    </row>
    <row r="310">
      <c r="A310" s="4" t="inlineStr">
        <is>
          <t>T0309</t>
        </is>
      </c>
      <c r="B310" s="4" t="inlineStr">
        <is>
          <t>C035</t>
        </is>
      </c>
      <c r="C310" s="4" t="inlineStr">
        <is>
          <t>Employee Data Upload</t>
        </is>
      </c>
      <c r="D310" s="4" t="inlineStr">
        <is>
          <t>Customer</t>
        </is>
      </c>
      <c r="E310" s="5" t="n">
        <v>46241</v>
      </c>
      <c r="F310" s="4" t="inlineStr">
        <is>
          <t>Completed</t>
        </is>
      </c>
      <c r="G310" s="4">
        <f>IFERROR(INDEX('01_Customer_Tracker'!$B:$B,MATCH(B310,'01_Customer_Tracker'!$A:$A,0)),"")</f>
        <v/>
      </c>
    </row>
    <row r="311">
      <c r="A311" s="4" t="inlineStr">
        <is>
          <t>T0310</t>
        </is>
      </c>
      <c r="B311" s="4" t="inlineStr">
        <is>
          <t>C035</t>
        </is>
      </c>
      <c r="C311" s="4" t="inlineStr">
        <is>
          <t>Bank Details Verification</t>
        </is>
      </c>
      <c r="D311" s="4" t="inlineStr">
        <is>
          <t>Ops</t>
        </is>
      </c>
      <c r="E311" s="5" t="n">
        <v>46245</v>
      </c>
      <c r="F311" s="4" t="inlineStr">
        <is>
          <t>Completed</t>
        </is>
      </c>
      <c r="G311" s="4">
        <f>IFERROR(INDEX('01_Customer_Tracker'!$B:$B,MATCH(B311,'01_Customer_Tracker'!$A:$A,0)),"")</f>
        <v/>
      </c>
    </row>
    <row r="312">
      <c r="A312" s="4" t="inlineStr">
        <is>
          <t>T0311</t>
        </is>
      </c>
      <c r="B312" s="4" t="inlineStr">
        <is>
          <t>C035</t>
        </is>
      </c>
      <c r="C312" s="4" t="inlineStr">
        <is>
          <t>PAN / UAN Verification</t>
        </is>
      </c>
      <c r="D312" s="4" t="inlineStr">
        <is>
          <t>Ops</t>
        </is>
      </c>
      <c r="E312" s="5" t="n">
        <v>46247</v>
      </c>
      <c r="F312" s="4" t="inlineStr">
        <is>
          <t>Completed</t>
        </is>
      </c>
      <c r="G312" s="4">
        <f>IFERROR(INDEX('01_Customer_Tracker'!$B:$B,MATCH(B312,'01_Customer_Tracker'!$A:$A,0)),"")</f>
        <v/>
      </c>
    </row>
    <row r="313">
      <c r="A313" s="4" t="inlineStr">
        <is>
          <t>T0312</t>
        </is>
      </c>
      <c r="B313" s="4" t="inlineStr">
        <is>
          <t>C035</t>
        </is>
      </c>
      <c r="C313" s="4" t="inlineStr">
        <is>
          <t>Attendance &amp; Leave Config</t>
        </is>
      </c>
      <c r="D313" s="4" t="inlineStr">
        <is>
          <t>Payroll Ops</t>
        </is>
      </c>
      <c r="E313" s="5" t="n">
        <v>46251</v>
      </c>
      <c r="F313" s="4" t="inlineStr">
        <is>
          <t>Completed</t>
        </is>
      </c>
      <c r="G313" s="4">
        <f>IFERROR(INDEX('01_Customer_Tracker'!$B:$B,MATCH(B313,'01_Customer_Tracker'!$A:$A,0)),"")</f>
        <v/>
      </c>
    </row>
    <row r="314">
      <c r="A314" s="4" t="inlineStr">
        <is>
          <t>T0313</t>
        </is>
      </c>
      <c r="B314" s="4" t="inlineStr">
        <is>
          <t>C035</t>
        </is>
      </c>
      <c r="C314" s="4" t="inlineStr">
        <is>
          <t>Salary Structure Mapping</t>
        </is>
      </c>
      <c r="D314" s="4" t="inlineStr">
        <is>
          <t>Payroll Ops</t>
        </is>
      </c>
      <c r="E314" s="5" t="n">
        <v>46254</v>
      </c>
      <c r="F314" s="4" t="inlineStr">
        <is>
          <t>Completed</t>
        </is>
      </c>
      <c r="G314" s="4">
        <f>IFERROR(INDEX('01_Customer_Tracker'!$B:$B,MATCH(B314,'01_Customer_Tracker'!$A:$A,0)),"")</f>
        <v/>
      </c>
    </row>
    <row r="315">
      <c r="A315" s="4" t="inlineStr">
        <is>
          <t>T0314</t>
        </is>
      </c>
      <c r="B315" s="4" t="inlineStr">
        <is>
          <t>C035</t>
        </is>
      </c>
      <c r="C315" s="4" t="inlineStr">
        <is>
          <t>Pre-run Reconciliation</t>
        </is>
      </c>
      <c r="D315" s="4" t="inlineStr">
        <is>
          <t>Payroll Ops</t>
        </is>
      </c>
      <c r="E315" s="5" t="n">
        <v>46259</v>
      </c>
      <c r="F315" s="4" t="inlineStr">
        <is>
          <t>In Progress</t>
        </is>
      </c>
      <c r="G315" s="4">
        <f>IFERROR(INDEX('01_Customer_Tracker'!$B:$B,MATCH(B315,'01_Customer_Tracker'!$A:$A,0)),"")</f>
        <v/>
      </c>
    </row>
    <row r="316">
      <c r="A316" s="4" t="inlineStr">
        <is>
          <t>T0315</t>
        </is>
      </c>
      <c r="B316" s="4" t="inlineStr">
        <is>
          <t>C035</t>
        </is>
      </c>
      <c r="C316" s="4" t="inlineStr">
        <is>
          <t>Customer Approval Sign-off</t>
        </is>
      </c>
      <c r="D316" s="4" t="inlineStr">
        <is>
          <t>Customer</t>
        </is>
      </c>
      <c r="E316" s="5" t="n">
        <v>46263</v>
      </c>
      <c r="F316" s="4" t="inlineStr">
        <is>
          <t>Pending</t>
        </is>
      </c>
      <c r="G316" s="4">
        <f>IFERROR(INDEX('01_Customer_Tracker'!$B:$B,MATCH(B316,'01_Customer_Tracker'!$A:$A,0)),"")</f>
        <v/>
      </c>
    </row>
    <row r="317">
      <c r="A317" s="4" t="inlineStr">
        <is>
          <t>T0316</t>
        </is>
      </c>
      <c r="B317" s="4" t="inlineStr">
        <is>
          <t>C036</t>
        </is>
      </c>
      <c r="C317" s="4" t="inlineStr">
        <is>
          <t>Company Info &amp; KYC</t>
        </is>
      </c>
      <c r="D317" s="4" t="inlineStr">
        <is>
          <t>Customer</t>
        </is>
      </c>
      <c r="E317" s="5" t="n">
        <v>46241</v>
      </c>
      <c r="F317" s="4" t="inlineStr">
        <is>
          <t>Completed</t>
        </is>
      </c>
      <c r="G317" s="4">
        <f>IFERROR(INDEX('01_Customer_Tracker'!$B:$B,MATCH(B317,'01_Customer_Tracker'!$A:$A,0)),"")</f>
        <v/>
      </c>
    </row>
    <row r="318">
      <c r="A318" s="4" t="inlineStr">
        <is>
          <t>T0317</t>
        </is>
      </c>
      <c r="B318" s="4" t="inlineStr">
        <is>
          <t>C036</t>
        </is>
      </c>
      <c r="C318" s="4" t="inlineStr">
        <is>
          <t>Document Collection</t>
        </is>
      </c>
      <c r="D318" s="4" t="inlineStr">
        <is>
          <t>Customer</t>
        </is>
      </c>
      <c r="E318" s="5" t="n">
        <v>46244</v>
      </c>
      <c r="F318" s="4" t="inlineStr">
        <is>
          <t>Completed</t>
        </is>
      </c>
      <c r="G318" s="4">
        <f>IFERROR(INDEX('01_Customer_Tracker'!$B:$B,MATCH(B318,'01_Customer_Tracker'!$A:$A,0)),"")</f>
        <v/>
      </c>
    </row>
    <row r="319">
      <c r="A319" s="4" t="inlineStr">
        <is>
          <t>T0318</t>
        </is>
      </c>
      <c r="B319" s="4" t="inlineStr">
        <is>
          <t>C036</t>
        </is>
      </c>
      <c r="C319" s="4" t="inlineStr">
        <is>
          <t>Employee Data Upload</t>
        </is>
      </c>
      <c r="D319" s="4" t="inlineStr">
        <is>
          <t>Customer</t>
        </is>
      </c>
      <c r="E319" s="5" t="n">
        <v>46248</v>
      </c>
      <c r="F319" s="4" t="inlineStr">
        <is>
          <t>Completed</t>
        </is>
      </c>
      <c r="G319" s="4">
        <f>IFERROR(INDEX('01_Customer_Tracker'!$B:$B,MATCH(B319,'01_Customer_Tracker'!$A:$A,0)),"")</f>
        <v/>
      </c>
    </row>
    <row r="320">
      <c r="A320" s="4" t="inlineStr">
        <is>
          <t>T0319</t>
        </is>
      </c>
      <c r="B320" s="4" t="inlineStr">
        <is>
          <t>C036</t>
        </is>
      </c>
      <c r="C320" s="4" t="inlineStr">
        <is>
          <t>Bank Details Verification</t>
        </is>
      </c>
      <c r="D320" s="4" t="inlineStr">
        <is>
          <t>Ops</t>
        </is>
      </c>
      <c r="E320" s="5" t="n">
        <v>46252</v>
      </c>
      <c r="F320" s="4" t="inlineStr">
        <is>
          <t>Completed</t>
        </is>
      </c>
      <c r="G320" s="4">
        <f>IFERROR(INDEX('01_Customer_Tracker'!$B:$B,MATCH(B320,'01_Customer_Tracker'!$A:$A,0)),"")</f>
        <v/>
      </c>
    </row>
    <row r="321">
      <c r="A321" s="4" t="inlineStr">
        <is>
          <t>T0320</t>
        </is>
      </c>
      <c r="B321" s="4" t="inlineStr">
        <is>
          <t>C036</t>
        </is>
      </c>
      <c r="C321" s="4" t="inlineStr">
        <is>
          <t>PAN / UAN Verification</t>
        </is>
      </c>
      <c r="D321" s="4" t="inlineStr">
        <is>
          <t>Ops</t>
        </is>
      </c>
      <c r="E321" s="5" t="n">
        <v>46254</v>
      </c>
      <c r="F321" s="4" t="inlineStr">
        <is>
          <t>Completed</t>
        </is>
      </c>
      <c r="G321" s="4">
        <f>IFERROR(INDEX('01_Customer_Tracker'!$B:$B,MATCH(B321,'01_Customer_Tracker'!$A:$A,0)),"")</f>
        <v/>
      </c>
    </row>
    <row r="322">
      <c r="A322" s="4" t="inlineStr">
        <is>
          <t>T0321</t>
        </is>
      </c>
      <c r="B322" s="4" t="inlineStr">
        <is>
          <t>C036</t>
        </is>
      </c>
      <c r="C322" s="4" t="inlineStr">
        <is>
          <t>Attendance &amp; Leave Config</t>
        </is>
      </c>
      <c r="D322" s="4" t="inlineStr">
        <is>
          <t>Payroll Ops</t>
        </is>
      </c>
      <c r="E322" s="5" t="n">
        <v>46258</v>
      </c>
      <c r="F322" s="4" t="inlineStr">
        <is>
          <t>Pending</t>
        </is>
      </c>
      <c r="G322" s="4">
        <f>IFERROR(INDEX('01_Customer_Tracker'!$B:$B,MATCH(B322,'01_Customer_Tracker'!$A:$A,0)),"")</f>
        <v/>
      </c>
    </row>
    <row r="323">
      <c r="A323" s="4" t="inlineStr">
        <is>
          <t>T0322</t>
        </is>
      </c>
      <c r="B323" s="4" t="inlineStr">
        <is>
          <t>C036</t>
        </is>
      </c>
      <c r="C323" s="4" t="inlineStr">
        <is>
          <t>Salary Structure Mapping</t>
        </is>
      </c>
      <c r="D323" s="4" t="inlineStr">
        <is>
          <t>Payroll Ops</t>
        </is>
      </c>
      <c r="E323" s="5" t="n">
        <v>46261</v>
      </c>
      <c r="F323" s="4" t="inlineStr">
        <is>
          <t>Completed</t>
        </is>
      </c>
      <c r="G323" s="4">
        <f>IFERROR(INDEX('01_Customer_Tracker'!$B:$B,MATCH(B323,'01_Customer_Tracker'!$A:$A,0)),"")</f>
        <v/>
      </c>
    </row>
    <row r="324">
      <c r="A324" s="4" t="inlineStr">
        <is>
          <t>T0323</t>
        </is>
      </c>
      <c r="B324" s="4" t="inlineStr">
        <is>
          <t>C036</t>
        </is>
      </c>
      <c r="C324" s="4" t="inlineStr">
        <is>
          <t>Pre-run Reconciliation</t>
        </is>
      </c>
      <c r="D324" s="4" t="inlineStr">
        <is>
          <t>Payroll Ops</t>
        </is>
      </c>
      <c r="E324" s="5" t="n">
        <v>46266</v>
      </c>
      <c r="F324" s="4" t="inlineStr">
        <is>
          <t>Pending</t>
        </is>
      </c>
      <c r="G324" s="4">
        <f>IFERROR(INDEX('01_Customer_Tracker'!$B:$B,MATCH(B324,'01_Customer_Tracker'!$A:$A,0)),"")</f>
        <v/>
      </c>
    </row>
    <row r="325">
      <c r="A325" s="4" t="inlineStr">
        <is>
          <t>T0324</t>
        </is>
      </c>
      <c r="B325" s="4" t="inlineStr">
        <is>
          <t>C036</t>
        </is>
      </c>
      <c r="C325" s="4" t="inlineStr">
        <is>
          <t>Customer Approval Sign-off</t>
        </is>
      </c>
      <c r="D325" s="4" t="inlineStr">
        <is>
          <t>Customer</t>
        </is>
      </c>
      <c r="E325" s="5" t="n">
        <v>46270</v>
      </c>
      <c r="F325" s="4" t="inlineStr">
        <is>
          <t>Pending</t>
        </is>
      </c>
      <c r="G325" s="4">
        <f>IFERROR(INDEX('01_Customer_Tracker'!$B:$B,MATCH(B325,'01_Customer_Tracker'!$A:$A,0)),"")</f>
        <v/>
      </c>
    </row>
    <row r="326">
      <c r="A326" s="4" t="inlineStr">
        <is>
          <t>T0325</t>
        </is>
      </c>
      <c r="B326" s="4" t="inlineStr">
        <is>
          <t>C037</t>
        </is>
      </c>
      <c r="C326" s="4" t="inlineStr">
        <is>
          <t>Company Info &amp; KYC</t>
        </is>
      </c>
      <c r="D326" s="4" t="inlineStr">
        <is>
          <t>Customer</t>
        </is>
      </c>
      <c r="E326" s="5" t="n">
        <v>46221</v>
      </c>
      <c r="F326" s="4" t="inlineStr">
        <is>
          <t>Completed</t>
        </is>
      </c>
      <c r="G326" s="4">
        <f>IFERROR(INDEX('01_Customer_Tracker'!$B:$B,MATCH(B326,'01_Customer_Tracker'!$A:$A,0)),"")</f>
        <v/>
      </c>
    </row>
    <row r="327">
      <c r="A327" s="4" t="inlineStr">
        <is>
          <t>T0326</t>
        </is>
      </c>
      <c r="B327" s="4" t="inlineStr">
        <is>
          <t>C037</t>
        </is>
      </c>
      <c r="C327" s="4" t="inlineStr">
        <is>
          <t>Document Collection</t>
        </is>
      </c>
      <c r="D327" s="4" t="inlineStr">
        <is>
          <t>Customer</t>
        </is>
      </c>
      <c r="E327" s="5" t="n">
        <v>46224</v>
      </c>
      <c r="F327" s="4" t="inlineStr">
        <is>
          <t>Completed</t>
        </is>
      </c>
      <c r="G327" s="4">
        <f>IFERROR(INDEX('01_Customer_Tracker'!$B:$B,MATCH(B327,'01_Customer_Tracker'!$A:$A,0)),"")</f>
        <v/>
      </c>
    </row>
    <row r="328">
      <c r="A328" s="4" t="inlineStr">
        <is>
          <t>T0327</t>
        </is>
      </c>
      <c r="B328" s="4" t="inlineStr">
        <is>
          <t>C037</t>
        </is>
      </c>
      <c r="C328" s="4" t="inlineStr">
        <is>
          <t>Employee Data Upload</t>
        </is>
      </c>
      <c r="D328" s="4" t="inlineStr">
        <is>
          <t>Customer</t>
        </is>
      </c>
      <c r="E328" s="5" t="n">
        <v>46228</v>
      </c>
      <c r="F328" s="4" t="inlineStr">
        <is>
          <t>Completed</t>
        </is>
      </c>
      <c r="G328" s="4">
        <f>IFERROR(INDEX('01_Customer_Tracker'!$B:$B,MATCH(B328,'01_Customer_Tracker'!$A:$A,0)),"")</f>
        <v/>
      </c>
    </row>
    <row r="329">
      <c r="A329" s="4" t="inlineStr">
        <is>
          <t>T0328</t>
        </is>
      </c>
      <c r="B329" s="4" t="inlineStr">
        <is>
          <t>C037</t>
        </is>
      </c>
      <c r="C329" s="4" t="inlineStr">
        <is>
          <t>Bank Details Verification</t>
        </is>
      </c>
      <c r="D329" s="4" t="inlineStr">
        <is>
          <t>Ops</t>
        </is>
      </c>
      <c r="E329" s="5" t="n">
        <v>46232</v>
      </c>
      <c r="F329" s="4" t="inlineStr">
        <is>
          <t>Completed</t>
        </is>
      </c>
      <c r="G329" s="4">
        <f>IFERROR(INDEX('01_Customer_Tracker'!$B:$B,MATCH(B329,'01_Customer_Tracker'!$A:$A,0)),"")</f>
        <v/>
      </c>
    </row>
    <row r="330">
      <c r="A330" s="4" t="inlineStr">
        <is>
          <t>T0329</t>
        </is>
      </c>
      <c r="B330" s="4" t="inlineStr">
        <is>
          <t>C037</t>
        </is>
      </c>
      <c r="C330" s="4" t="inlineStr">
        <is>
          <t>PAN / UAN Verification</t>
        </is>
      </c>
      <c r="D330" s="4" t="inlineStr">
        <is>
          <t>Ops</t>
        </is>
      </c>
      <c r="E330" s="5" t="n">
        <v>46234</v>
      </c>
      <c r="F330" s="4" t="inlineStr">
        <is>
          <t>Completed</t>
        </is>
      </c>
      <c r="G330" s="4">
        <f>IFERROR(INDEX('01_Customer_Tracker'!$B:$B,MATCH(B330,'01_Customer_Tracker'!$A:$A,0)),"")</f>
        <v/>
      </c>
    </row>
    <row r="331">
      <c r="A331" s="4" t="inlineStr">
        <is>
          <t>T0330</t>
        </is>
      </c>
      <c r="B331" s="4" t="inlineStr">
        <is>
          <t>C037</t>
        </is>
      </c>
      <c r="C331" s="4" t="inlineStr">
        <is>
          <t>Attendance &amp; Leave Config</t>
        </is>
      </c>
      <c r="D331" s="4" t="inlineStr">
        <is>
          <t>Payroll Ops</t>
        </is>
      </c>
      <c r="E331" s="5" t="n">
        <v>46238</v>
      </c>
      <c r="F331" s="4" t="inlineStr">
        <is>
          <t>Completed</t>
        </is>
      </c>
      <c r="G331" s="4">
        <f>IFERROR(INDEX('01_Customer_Tracker'!$B:$B,MATCH(B331,'01_Customer_Tracker'!$A:$A,0)),"")</f>
        <v/>
      </c>
    </row>
    <row r="332">
      <c r="A332" s="4" t="inlineStr">
        <is>
          <t>T0331</t>
        </is>
      </c>
      <c r="B332" s="4" t="inlineStr">
        <is>
          <t>C037</t>
        </is>
      </c>
      <c r="C332" s="4" t="inlineStr">
        <is>
          <t>Salary Structure Mapping</t>
        </is>
      </c>
      <c r="D332" s="4" t="inlineStr">
        <is>
          <t>Payroll Ops</t>
        </is>
      </c>
      <c r="E332" s="5" t="n">
        <v>46241</v>
      </c>
      <c r="F332" s="4" t="inlineStr">
        <is>
          <t>Completed</t>
        </is>
      </c>
      <c r="G332" s="4">
        <f>IFERROR(INDEX('01_Customer_Tracker'!$B:$B,MATCH(B332,'01_Customer_Tracker'!$A:$A,0)),"")</f>
        <v/>
      </c>
    </row>
    <row r="333">
      <c r="A333" s="4" t="inlineStr">
        <is>
          <t>T0332</t>
        </is>
      </c>
      <c r="B333" s="4" t="inlineStr">
        <is>
          <t>C037</t>
        </is>
      </c>
      <c r="C333" s="4" t="inlineStr">
        <is>
          <t>Pre-run Reconciliation</t>
        </is>
      </c>
      <c r="D333" s="4" t="inlineStr">
        <is>
          <t>Payroll Ops</t>
        </is>
      </c>
      <c r="E333" s="5" t="n">
        <v>46246</v>
      </c>
      <c r="F333" s="4" t="inlineStr">
        <is>
          <t>Completed</t>
        </is>
      </c>
      <c r="G333" s="4">
        <f>IFERROR(INDEX('01_Customer_Tracker'!$B:$B,MATCH(B333,'01_Customer_Tracker'!$A:$A,0)),"")</f>
        <v/>
      </c>
    </row>
    <row r="334">
      <c r="A334" s="4" t="inlineStr">
        <is>
          <t>T0333</t>
        </is>
      </c>
      <c r="B334" s="4" t="inlineStr">
        <is>
          <t>C037</t>
        </is>
      </c>
      <c r="C334" s="4" t="inlineStr">
        <is>
          <t>Customer Approval Sign-off</t>
        </is>
      </c>
      <c r="D334" s="4" t="inlineStr">
        <is>
          <t>Customer</t>
        </is>
      </c>
      <c r="E334" s="5" t="n">
        <v>46250</v>
      </c>
      <c r="F334" s="4" t="inlineStr">
        <is>
          <t>Completed</t>
        </is>
      </c>
      <c r="G334" s="4">
        <f>IFERROR(INDEX('01_Customer_Tracker'!$B:$B,MATCH(B334,'01_Customer_Tracker'!$A:$A,0)),"")</f>
        <v/>
      </c>
    </row>
    <row r="335">
      <c r="A335" s="4" t="inlineStr">
        <is>
          <t>T0334</t>
        </is>
      </c>
      <c r="B335" s="4" t="inlineStr">
        <is>
          <t>C038</t>
        </is>
      </c>
      <c r="C335" s="4" t="inlineStr">
        <is>
          <t>Company Info &amp; KYC</t>
        </is>
      </c>
      <c r="D335" s="4" t="inlineStr">
        <is>
          <t>Customer</t>
        </is>
      </c>
      <c r="E335" s="5" t="n">
        <v>46274</v>
      </c>
      <c r="F335" s="4" t="inlineStr">
        <is>
          <t>Completed</t>
        </is>
      </c>
      <c r="G335" s="4">
        <f>IFERROR(INDEX('01_Customer_Tracker'!$B:$B,MATCH(B335,'01_Customer_Tracker'!$A:$A,0)),"")</f>
        <v/>
      </c>
    </row>
    <row r="336">
      <c r="A336" s="4" t="inlineStr">
        <is>
          <t>T0335</t>
        </is>
      </c>
      <c r="B336" s="4" t="inlineStr">
        <is>
          <t>C038</t>
        </is>
      </c>
      <c r="C336" s="4" t="inlineStr">
        <is>
          <t>Document Collection</t>
        </is>
      </c>
      <c r="D336" s="4" t="inlineStr">
        <is>
          <t>Customer</t>
        </is>
      </c>
      <c r="E336" s="5" t="n">
        <v>46277</v>
      </c>
      <c r="F336" s="4" t="inlineStr">
        <is>
          <t>Completed</t>
        </is>
      </c>
      <c r="G336" s="4">
        <f>IFERROR(INDEX('01_Customer_Tracker'!$B:$B,MATCH(B336,'01_Customer_Tracker'!$A:$A,0)),"")</f>
        <v/>
      </c>
    </row>
    <row r="337">
      <c r="A337" s="4" t="inlineStr">
        <is>
          <t>T0336</t>
        </is>
      </c>
      <c r="B337" s="4" t="inlineStr">
        <is>
          <t>C038</t>
        </is>
      </c>
      <c r="C337" s="4" t="inlineStr">
        <is>
          <t>Employee Data Upload</t>
        </is>
      </c>
      <c r="D337" s="4" t="inlineStr">
        <is>
          <t>Customer</t>
        </is>
      </c>
      <c r="E337" s="5" t="n">
        <v>46281</v>
      </c>
      <c r="F337" s="4" t="inlineStr">
        <is>
          <t>Completed</t>
        </is>
      </c>
      <c r="G337" s="4">
        <f>IFERROR(INDEX('01_Customer_Tracker'!$B:$B,MATCH(B337,'01_Customer_Tracker'!$A:$A,0)),"")</f>
        <v/>
      </c>
    </row>
    <row r="338">
      <c r="A338" s="4" t="inlineStr">
        <is>
          <t>T0337</t>
        </is>
      </c>
      <c r="B338" s="4" t="inlineStr">
        <is>
          <t>C038</t>
        </is>
      </c>
      <c r="C338" s="4" t="inlineStr">
        <is>
          <t>Bank Details Verification</t>
        </is>
      </c>
      <c r="D338" s="4" t="inlineStr">
        <is>
          <t>Ops</t>
        </is>
      </c>
      <c r="E338" s="5" t="n">
        <v>46285</v>
      </c>
      <c r="F338" s="4" t="inlineStr">
        <is>
          <t>Completed</t>
        </is>
      </c>
      <c r="G338" s="4">
        <f>IFERROR(INDEX('01_Customer_Tracker'!$B:$B,MATCH(B338,'01_Customer_Tracker'!$A:$A,0)),"")</f>
        <v/>
      </c>
    </row>
    <row r="339">
      <c r="A339" s="4" t="inlineStr">
        <is>
          <t>T0338</t>
        </is>
      </c>
      <c r="B339" s="4" t="inlineStr">
        <is>
          <t>C038</t>
        </is>
      </c>
      <c r="C339" s="4" t="inlineStr">
        <is>
          <t>PAN / UAN Verification</t>
        </is>
      </c>
      <c r="D339" s="4" t="inlineStr">
        <is>
          <t>Ops</t>
        </is>
      </c>
      <c r="E339" s="5" t="n">
        <v>46287</v>
      </c>
      <c r="F339" s="4" t="inlineStr">
        <is>
          <t>Completed</t>
        </is>
      </c>
      <c r="G339" s="4">
        <f>IFERROR(INDEX('01_Customer_Tracker'!$B:$B,MATCH(B339,'01_Customer_Tracker'!$A:$A,0)),"")</f>
        <v/>
      </c>
    </row>
    <row r="340">
      <c r="A340" s="4" t="inlineStr">
        <is>
          <t>T0339</t>
        </is>
      </c>
      <c r="B340" s="4" t="inlineStr">
        <is>
          <t>C038</t>
        </is>
      </c>
      <c r="C340" s="4" t="inlineStr">
        <is>
          <t>Attendance &amp; Leave Config</t>
        </is>
      </c>
      <c r="D340" s="4" t="inlineStr">
        <is>
          <t>Payroll Ops</t>
        </is>
      </c>
      <c r="E340" s="5" t="n">
        <v>46291</v>
      </c>
      <c r="F340" s="4" t="inlineStr">
        <is>
          <t>Completed</t>
        </is>
      </c>
      <c r="G340" s="4">
        <f>IFERROR(INDEX('01_Customer_Tracker'!$B:$B,MATCH(B340,'01_Customer_Tracker'!$A:$A,0)),"")</f>
        <v/>
      </c>
    </row>
    <row r="341">
      <c r="A341" s="4" t="inlineStr">
        <is>
          <t>T0340</t>
        </is>
      </c>
      <c r="B341" s="4" t="inlineStr">
        <is>
          <t>C038</t>
        </is>
      </c>
      <c r="C341" s="4" t="inlineStr">
        <is>
          <t>Salary Structure Mapping</t>
        </is>
      </c>
      <c r="D341" s="4" t="inlineStr">
        <is>
          <t>Payroll Ops</t>
        </is>
      </c>
      <c r="E341" s="5" t="n">
        <v>46294</v>
      </c>
      <c r="F341" s="4" t="inlineStr">
        <is>
          <t>Completed</t>
        </is>
      </c>
      <c r="G341" s="4">
        <f>IFERROR(INDEX('01_Customer_Tracker'!$B:$B,MATCH(B341,'01_Customer_Tracker'!$A:$A,0)),"")</f>
        <v/>
      </c>
    </row>
    <row r="342">
      <c r="A342" s="4" t="inlineStr">
        <is>
          <t>T0341</t>
        </is>
      </c>
      <c r="B342" s="4" t="inlineStr">
        <is>
          <t>C038</t>
        </is>
      </c>
      <c r="C342" s="4" t="inlineStr">
        <is>
          <t>Pre-run Reconciliation</t>
        </is>
      </c>
      <c r="D342" s="4" t="inlineStr">
        <is>
          <t>Payroll Ops</t>
        </is>
      </c>
      <c r="E342" s="5" t="n">
        <v>46299</v>
      </c>
      <c r="F342" s="4" t="inlineStr">
        <is>
          <t>Completed</t>
        </is>
      </c>
      <c r="G342" s="4">
        <f>IFERROR(INDEX('01_Customer_Tracker'!$B:$B,MATCH(B342,'01_Customer_Tracker'!$A:$A,0)),"")</f>
        <v/>
      </c>
    </row>
    <row r="343">
      <c r="A343" s="4" t="inlineStr">
        <is>
          <t>T0342</t>
        </is>
      </c>
      <c r="B343" s="4" t="inlineStr">
        <is>
          <t>C038</t>
        </is>
      </c>
      <c r="C343" s="4" t="inlineStr">
        <is>
          <t>Customer Approval Sign-off</t>
        </is>
      </c>
      <c r="D343" s="4" t="inlineStr">
        <is>
          <t>Customer</t>
        </is>
      </c>
      <c r="E343" s="5" t="n">
        <v>46303</v>
      </c>
      <c r="F343" s="4" t="inlineStr">
        <is>
          <t>Pending</t>
        </is>
      </c>
      <c r="G343" s="4">
        <f>IFERROR(INDEX('01_Customer_Tracker'!$B:$B,MATCH(B343,'01_Customer_Tracker'!$A:$A,0)),"")</f>
        <v/>
      </c>
    </row>
    <row r="344">
      <c r="A344" s="4" t="inlineStr">
        <is>
          <t>T0343</t>
        </is>
      </c>
      <c r="B344" s="4" t="inlineStr">
        <is>
          <t>C039</t>
        </is>
      </c>
      <c r="C344" s="4" t="inlineStr">
        <is>
          <t>Company Info &amp; KYC</t>
        </is>
      </c>
      <c r="D344" s="4" t="inlineStr">
        <is>
          <t>Customer</t>
        </is>
      </c>
      <c r="E344" s="5" t="n">
        <v>46251</v>
      </c>
      <c r="F344" s="4" t="inlineStr">
        <is>
          <t>Completed</t>
        </is>
      </c>
      <c r="G344" s="4">
        <f>IFERROR(INDEX('01_Customer_Tracker'!$B:$B,MATCH(B344,'01_Customer_Tracker'!$A:$A,0)),"")</f>
        <v/>
      </c>
    </row>
    <row r="345">
      <c r="A345" s="4" t="inlineStr">
        <is>
          <t>T0344</t>
        </is>
      </c>
      <c r="B345" s="4" t="inlineStr">
        <is>
          <t>C039</t>
        </is>
      </c>
      <c r="C345" s="4" t="inlineStr">
        <is>
          <t>Document Collection</t>
        </is>
      </c>
      <c r="D345" s="4" t="inlineStr">
        <is>
          <t>Customer</t>
        </is>
      </c>
      <c r="E345" s="5" t="n">
        <v>46254</v>
      </c>
      <c r="F345" s="4" t="inlineStr">
        <is>
          <t>Completed</t>
        </is>
      </c>
      <c r="G345" s="4">
        <f>IFERROR(INDEX('01_Customer_Tracker'!$B:$B,MATCH(B345,'01_Customer_Tracker'!$A:$A,0)),"")</f>
        <v/>
      </c>
    </row>
    <row r="346">
      <c r="A346" s="4" t="inlineStr">
        <is>
          <t>T0345</t>
        </is>
      </c>
      <c r="B346" s="4" t="inlineStr">
        <is>
          <t>C039</t>
        </is>
      </c>
      <c r="C346" s="4" t="inlineStr">
        <is>
          <t>Employee Data Upload</t>
        </is>
      </c>
      <c r="D346" s="4" t="inlineStr">
        <is>
          <t>Customer</t>
        </is>
      </c>
      <c r="E346" s="5" t="n">
        <v>46258</v>
      </c>
      <c r="F346" s="4" t="inlineStr">
        <is>
          <t>Completed</t>
        </is>
      </c>
      <c r="G346" s="4">
        <f>IFERROR(INDEX('01_Customer_Tracker'!$B:$B,MATCH(B346,'01_Customer_Tracker'!$A:$A,0)),"")</f>
        <v/>
      </c>
    </row>
    <row r="347">
      <c r="A347" s="4" t="inlineStr">
        <is>
          <t>T0346</t>
        </is>
      </c>
      <c r="B347" s="4" t="inlineStr">
        <is>
          <t>C039</t>
        </is>
      </c>
      <c r="C347" s="4" t="inlineStr">
        <is>
          <t>Bank Details Verification</t>
        </is>
      </c>
      <c r="D347" s="4" t="inlineStr">
        <is>
          <t>Ops</t>
        </is>
      </c>
      <c r="E347" s="5" t="n">
        <v>46262</v>
      </c>
      <c r="F347" s="4" t="inlineStr">
        <is>
          <t>Completed</t>
        </is>
      </c>
      <c r="G347" s="4">
        <f>IFERROR(INDEX('01_Customer_Tracker'!$B:$B,MATCH(B347,'01_Customer_Tracker'!$A:$A,0)),"")</f>
        <v/>
      </c>
    </row>
    <row r="348">
      <c r="A348" s="4" t="inlineStr">
        <is>
          <t>T0347</t>
        </is>
      </c>
      <c r="B348" s="4" t="inlineStr">
        <is>
          <t>C039</t>
        </is>
      </c>
      <c r="C348" s="4" t="inlineStr">
        <is>
          <t>PAN / UAN Verification</t>
        </is>
      </c>
      <c r="D348" s="4" t="inlineStr">
        <is>
          <t>Ops</t>
        </is>
      </c>
      <c r="E348" s="5" t="n">
        <v>46264</v>
      </c>
      <c r="F348" s="4" t="inlineStr">
        <is>
          <t>Completed</t>
        </is>
      </c>
      <c r="G348" s="4">
        <f>IFERROR(INDEX('01_Customer_Tracker'!$B:$B,MATCH(B348,'01_Customer_Tracker'!$A:$A,0)),"")</f>
        <v/>
      </c>
    </row>
    <row r="349">
      <c r="A349" s="4" t="inlineStr">
        <is>
          <t>T0348</t>
        </is>
      </c>
      <c r="B349" s="4" t="inlineStr">
        <is>
          <t>C039</t>
        </is>
      </c>
      <c r="C349" s="4" t="inlineStr">
        <is>
          <t>Attendance &amp; Leave Config</t>
        </is>
      </c>
      <c r="D349" s="4" t="inlineStr">
        <is>
          <t>Payroll Ops</t>
        </is>
      </c>
      <c r="E349" s="5" t="n">
        <v>46268</v>
      </c>
      <c r="F349" s="4" t="inlineStr">
        <is>
          <t>Completed</t>
        </is>
      </c>
      <c r="G349" s="4">
        <f>IFERROR(INDEX('01_Customer_Tracker'!$B:$B,MATCH(B349,'01_Customer_Tracker'!$A:$A,0)),"")</f>
        <v/>
      </c>
    </row>
    <row r="350">
      <c r="A350" s="4" t="inlineStr">
        <is>
          <t>T0349</t>
        </is>
      </c>
      <c r="B350" s="4" t="inlineStr">
        <is>
          <t>C039</t>
        </is>
      </c>
      <c r="C350" s="4" t="inlineStr">
        <is>
          <t>Salary Structure Mapping</t>
        </is>
      </c>
      <c r="D350" s="4" t="inlineStr">
        <is>
          <t>Payroll Ops</t>
        </is>
      </c>
      <c r="E350" s="5" t="n">
        <v>46271</v>
      </c>
      <c r="F350" s="4" t="inlineStr">
        <is>
          <t>Completed</t>
        </is>
      </c>
      <c r="G350" s="4">
        <f>IFERROR(INDEX('01_Customer_Tracker'!$B:$B,MATCH(B350,'01_Customer_Tracker'!$A:$A,0)),"")</f>
        <v/>
      </c>
    </row>
    <row r="351">
      <c r="A351" s="4" t="inlineStr">
        <is>
          <t>T0350</t>
        </is>
      </c>
      <c r="B351" s="4" t="inlineStr">
        <is>
          <t>C039</t>
        </is>
      </c>
      <c r="C351" s="4" t="inlineStr">
        <is>
          <t>Pre-run Reconciliation</t>
        </is>
      </c>
      <c r="D351" s="4" t="inlineStr">
        <is>
          <t>Payroll Ops</t>
        </is>
      </c>
      <c r="E351" s="5" t="n">
        <v>46276</v>
      </c>
      <c r="F351" s="4" t="inlineStr">
        <is>
          <t>Completed</t>
        </is>
      </c>
      <c r="G351" s="4">
        <f>IFERROR(INDEX('01_Customer_Tracker'!$B:$B,MATCH(B351,'01_Customer_Tracker'!$A:$A,0)),"")</f>
        <v/>
      </c>
    </row>
    <row r="352">
      <c r="A352" s="4" t="inlineStr">
        <is>
          <t>T0351</t>
        </is>
      </c>
      <c r="B352" s="4" t="inlineStr">
        <is>
          <t>C039</t>
        </is>
      </c>
      <c r="C352" s="4" t="inlineStr">
        <is>
          <t>Customer Approval Sign-off</t>
        </is>
      </c>
      <c r="D352" s="4" t="inlineStr">
        <is>
          <t>Customer</t>
        </is>
      </c>
      <c r="E352" s="5" t="n">
        <v>46280</v>
      </c>
      <c r="F352" s="4" t="inlineStr">
        <is>
          <t>Completed</t>
        </is>
      </c>
      <c r="G352" s="4">
        <f>IFERROR(INDEX('01_Customer_Tracker'!$B:$B,MATCH(B352,'01_Customer_Tracker'!$A:$A,0)),"")</f>
        <v/>
      </c>
    </row>
    <row r="353">
      <c r="A353" s="4" t="inlineStr">
        <is>
          <t>T0352</t>
        </is>
      </c>
      <c r="B353" s="4" t="inlineStr">
        <is>
          <t>C040</t>
        </is>
      </c>
      <c r="C353" s="4" t="inlineStr">
        <is>
          <t>Company Info &amp; KYC</t>
        </is>
      </c>
      <c r="D353" s="4" t="inlineStr">
        <is>
          <t>Customer</t>
        </is>
      </c>
      <c r="E353" s="5" t="n">
        <v>46271</v>
      </c>
      <c r="F353" s="4" t="inlineStr">
        <is>
          <t>Completed</t>
        </is>
      </c>
      <c r="G353" s="4">
        <f>IFERROR(INDEX('01_Customer_Tracker'!$B:$B,MATCH(B353,'01_Customer_Tracker'!$A:$A,0)),"")</f>
        <v/>
      </c>
    </row>
    <row r="354">
      <c r="A354" s="4" t="inlineStr">
        <is>
          <t>T0353</t>
        </is>
      </c>
      <c r="B354" s="4" t="inlineStr">
        <is>
          <t>C040</t>
        </is>
      </c>
      <c r="C354" s="4" t="inlineStr">
        <is>
          <t>Document Collection</t>
        </is>
      </c>
      <c r="D354" s="4" t="inlineStr">
        <is>
          <t>Customer</t>
        </is>
      </c>
      <c r="E354" s="5" t="n">
        <v>46274</v>
      </c>
      <c r="F354" s="4" t="inlineStr">
        <is>
          <t>Completed</t>
        </is>
      </c>
      <c r="G354" s="4">
        <f>IFERROR(INDEX('01_Customer_Tracker'!$B:$B,MATCH(B354,'01_Customer_Tracker'!$A:$A,0)),"")</f>
        <v/>
      </c>
    </row>
    <row r="355">
      <c r="A355" s="4" t="inlineStr">
        <is>
          <t>T0354</t>
        </is>
      </c>
      <c r="B355" s="4" t="inlineStr">
        <is>
          <t>C040</t>
        </is>
      </c>
      <c r="C355" s="4" t="inlineStr">
        <is>
          <t>Employee Data Upload</t>
        </is>
      </c>
      <c r="D355" s="4" t="inlineStr">
        <is>
          <t>Customer</t>
        </is>
      </c>
      <c r="E355" s="5" t="n">
        <v>46278</v>
      </c>
      <c r="F355" s="4" t="inlineStr">
        <is>
          <t>In Progress</t>
        </is>
      </c>
      <c r="G355" s="4">
        <f>IFERROR(INDEX('01_Customer_Tracker'!$B:$B,MATCH(B355,'01_Customer_Tracker'!$A:$A,0)),"")</f>
        <v/>
      </c>
    </row>
    <row r="356">
      <c r="A356" s="4" t="inlineStr">
        <is>
          <t>T0355</t>
        </is>
      </c>
      <c r="B356" s="4" t="inlineStr">
        <is>
          <t>C040</t>
        </is>
      </c>
      <c r="C356" s="4" t="inlineStr">
        <is>
          <t>Bank Details Verification</t>
        </is>
      </c>
      <c r="D356" s="4" t="inlineStr">
        <is>
          <t>Ops</t>
        </is>
      </c>
      <c r="E356" s="5" t="n">
        <v>46282</v>
      </c>
      <c r="F356" s="4" t="inlineStr">
        <is>
          <t>Pending</t>
        </is>
      </c>
      <c r="G356" s="4">
        <f>IFERROR(INDEX('01_Customer_Tracker'!$B:$B,MATCH(B356,'01_Customer_Tracker'!$A:$A,0)),"")</f>
        <v/>
      </c>
    </row>
    <row r="357">
      <c r="A357" s="4" t="inlineStr">
        <is>
          <t>T0356</t>
        </is>
      </c>
      <c r="B357" s="4" t="inlineStr">
        <is>
          <t>C040</t>
        </is>
      </c>
      <c r="C357" s="4" t="inlineStr">
        <is>
          <t>PAN / UAN Verification</t>
        </is>
      </c>
      <c r="D357" s="4" t="inlineStr">
        <is>
          <t>Ops</t>
        </is>
      </c>
      <c r="E357" s="5" t="n">
        <v>46284</v>
      </c>
      <c r="F357" s="4" t="inlineStr">
        <is>
          <t>Pending</t>
        </is>
      </c>
      <c r="G357" s="4">
        <f>IFERROR(INDEX('01_Customer_Tracker'!$B:$B,MATCH(B357,'01_Customer_Tracker'!$A:$A,0)),"")</f>
        <v/>
      </c>
    </row>
    <row r="358">
      <c r="A358" s="4" t="inlineStr">
        <is>
          <t>T0357</t>
        </is>
      </c>
      <c r="B358" s="4" t="inlineStr">
        <is>
          <t>C040</t>
        </is>
      </c>
      <c r="C358" s="4" t="inlineStr">
        <is>
          <t>Attendance &amp; Leave Config</t>
        </is>
      </c>
      <c r="D358" s="4" t="inlineStr">
        <is>
          <t>Payroll Ops</t>
        </is>
      </c>
      <c r="E358" s="5" t="n">
        <v>46288</v>
      </c>
      <c r="F358" s="4" t="inlineStr">
        <is>
          <t>Pending</t>
        </is>
      </c>
      <c r="G358" s="4">
        <f>IFERROR(INDEX('01_Customer_Tracker'!$B:$B,MATCH(B358,'01_Customer_Tracker'!$A:$A,0)),"")</f>
        <v/>
      </c>
    </row>
    <row r="359">
      <c r="A359" s="4" t="inlineStr">
        <is>
          <t>T0358</t>
        </is>
      </c>
      <c r="B359" s="4" t="inlineStr">
        <is>
          <t>C040</t>
        </is>
      </c>
      <c r="C359" s="4" t="inlineStr">
        <is>
          <t>Salary Structure Mapping</t>
        </is>
      </c>
      <c r="D359" s="4" t="inlineStr">
        <is>
          <t>Payroll Ops</t>
        </is>
      </c>
      <c r="E359" s="5" t="n">
        <v>46291</v>
      </c>
      <c r="F359" s="4" t="inlineStr">
        <is>
          <t>Pending</t>
        </is>
      </c>
      <c r="G359" s="4">
        <f>IFERROR(INDEX('01_Customer_Tracker'!$B:$B,MATCH(B359,'01_Customer_Tracker'!$A:$A,0)),"")</f>
        <v/>
      </c>
    </row>
    <row r="360">
      <c r="A360" s="4" t="inlineStr">
        <is>
          <t>T0359</t>
        </is>
      </c>
      <c r="B360" s="4" t="inlineStr">
        <is>
          <t>C040</t>
        </is>
      </c>
      <c r="C360" s="4" t="inlineStr">
        <is>
          <t>Pre-run Reconciliation</t>
        </is>
      </c>
      <c r="D360" s="4" t="inlineStr">
        <is>
          <t>Payroll Ops</t>
        </is>
      </c>
      <c r="E360" s="5" t="n">
        <v>46296</v>
      </c>
      <c r="F360" s="4" t="inlineStr">
        <is>
          <t>Pending</t>
        </is>
      </c>
      <c r="G360" s="4">
        <f>IFERROR(INDEX('01_Customer_Tracker'!$B:$B,MATCH(B360,'01_Customer_Tracker'!$A:$A,0)),"")</f>
        <v/>
      </c>
    </row>
    <row r="361">
      <c r="A361" s="4" t="inlineStr">
        <is>
          <t>T0360</t>
        </is>
      </c>
      <c r="B361" s="4" t="inlineStr">
        <is>
          <t>C040</t>
        </is>
      </c>
      <c r="C361" s="4" t="inlineStr">
        <is>
          <t>Customer Approval Sign-off</t>
        </is>
      </c>
      <c r="D361" s="4" t="inlineStr">
        <is>
          <t>Customer</t>
        </is>
      </c>
      <c r="E361" s="5" t="n">
        <v>46300</v>
      </c>
      <c r="F361" s="4" t="inlineStr">
        <is>
          <t>Pending</t>
        </is>
      </c>
      <c r="G361" s="4">
        <f>IFERROR(INDEX('01_Customer_Tracker'!$B:$B,MATCH(B361,'01_Customer_Tracker'!$A:$A,0)),"")</f>
        <v/>
      </c>
    </row>
    <row r="362">
      <c r="A362" s="4" t="inlineStr">
        <is>
          <t>T0361</t>
        </is>
      </c>
      <c r="B362" s="4" t="inlineStr">
        <is>
          <t>C041</t>
        </is>
      </c>
      <c r="C362" s="4" t="inlineStr">
        <is>
          <t>Company Info &amp; KYC</t>
        </is>
      </c>
      <c r="D362" s="4" t="inlineStr">
        <is>
          <t>Customer</t>
        </is>
      </c>
      <c r="E362" s="5" t="n">
        <v>46273</v>
      </c>
      <c r="F362" s="4" t="inlineStr">
        <is>
          <t>Completed</t>
        </is>
      </c>
      <c r="G362" s="4">
        <f>IFERROR(INDEX('01_Customer_Tracker'!$B:$B,MATCH(B362,'01_Customer_Tracker'!$A:$A,0)),"")</f>
        <v/>
      </c>
    </row>
    <row r="363">
      <c r="A363" s="4" t="inlineStr">
        <is>
          <t>T0362</t>
        </is>
      </c>
      <c r="B363" s="4" t="inlineStr">
        <is>
          <t>C041</t>
        </is>
      </c>
      <c r="C363" s="4" t="inlineStr">
        <is>
          <t>Document Collection</t>
        </is>
      </c>
      <c r="D363" s="4" t="inlineStr">
        <is>
          <t>Customer</t>
        </is>
      </c>
      <c r="E363" s="5" t="n">
        <v>46276</v>
      </c>
      <c r="F363" s="4" t="inlineStr">
        <is>
          <t>Completed</t>
        </is>
      </c>
      <c r="G363" s="4">
        <f>IFERROR(INDEX('01_Customer_Tracker'!$B:$B,MATCH(B363,'01_Customer_Tracker'!$A:$A,0)),"")</f>
        <v/>
      </c>
    </row>
    <row r="364">
      <c r="A364" s="4" t="inlineStr">
        <is>
          <t>T0363</t>
        </is>
      </c>
      <c r="B364" s="4" t="inlineStr">
        <is>
          <t>C041</t>
        </is>
      </c>
      <c r="C364" s="4" t="inlineStr">
        <is>
          <t>Employee Data Upload</t>
        </is>
      </c>
      <c r="D364" s="4" t="inlineStr">
        <is>
          <t>Customer</t>
        </is>
      </c>
      <c r="E364" s="5" t="n">
        <v>46280</v>
      </c>
      <c r="F364" s="4" t="inlineStr">
        <is>
          <t>Completed</t>
        </is>
      </c>
      <c r="G364" s="4">
        <f>IFERROR(INDEX('01_Customer_Tracker'!$B:$B,MATCH(B364,'01_Customer_Tracker'!$A:$A,0)),"")</f>
        <v/>
      </c>
    </row>
    <row r="365">
      <c r="A365" s="4" t="inlineStr">
        <is>
          <t>T0364</t>
        </is>
      </c>
      <c r="B365" s="4" t="inlineStr">
        <is>
          <t>C041</t>
        </is>
      </c>
      <c r="C365" s="4" t="inlineStr">
        <is>
          <t>Bank Details Verification</t>
        </is>
      </c>
      <c r="D365" s="4" t="inlineStr">
        <is>
          <t>Ops</t>
        </is>
      </c>
      <c r="E365" s="5" t="n">
        <v>46284</v>
      </c>
      <c r="F365" s="4" t="inlineStr">
        <is>
          <t>Completed</t>
        </is>
      </c>
      <c r="G365" s="4">
        <f>IFERROR(INDEX('01_Customer_Tracker'!$B:$B,MATCH(B365,'01_Customer_Tracker'!$A:$A,0)),"")</f>
        <v/>
      </c>
    </row>
    <row r="366">
      <c r="A366" s="4" t="inlineStr">
        <is>
          <t>T0365</t>
        </is>
      </c>
      <c r="B366" s="4" t="inlineStr">
        <is>
          <t>C041</t>
        </is>
      </c>
      <c r="C366" s="4" t="inlineStr">
        <is>
          <t>PAN / UAN Verification</t>
        </is>
      </c>
      <c r="D366" s="4" t="inlineStr">
        <is>
          <t>Ops</t>
        </is>
      </c>
      <c r="E366" s="5" t="n">
        <v>46286</v>
      </c>
      <c r="F366" s="4" t="inlineStr">
        <is>
          <t>Pending</t>
        </is>
      </c>
      <c r="G366" s="4">
        <f>IFERROR(INDEX('01_Customer_Tracker'!$B:$B,MATCH(B366,'01_Customer_Tracker'!$A:$A,0)),"")</f>
        <v/>
      </c>
    </row>
    <row r="367">
      <c r="A367" s="4" t="inlineStr">
        <is>
          <t>T0366</t>
        </is>
      </c>
      <c r="B367" s="4" t="inlineStr">
        <is>
          <t>C041</t>
        </is>
      </c>
      <c r="C367" s="4" t="inlineStr">
        <is>
          <t>Attendance &amp; Leave Config</t>
        </is>
      </c>
      <c r="D367" s="4" t="inlineStr">
        <is>
          <t>Payroll Ops</t>
        </is>
      </c>
      <c r="E367" s="5" t="n">
        <v>46290</v>
      </c>
      <c r="F367" s="4" t="inlineStr">
        <is>
          <t>Pending</t>
        </is>
      </c>
      <c r="G367" s="4">
        <f>IFERROR(INDEX('01_Customer_Tracker'!$B:$B,MATCH(B367,'01_Customer_Tracker'!$A:$A,0)),"")</f>
        <v/>
      </c>
    </row>
    <row r="368">
      <c r="A368" s="4" t="inlineStr">
        <is>
          <t>T0367</t>
        </is>
      </c>
      <c r="B368" s="4" t="inlineStr">
        <is>
          <t>C041</t>
        </is>
      </c>
      <c r="C368" s="4" t="inlineStr">
        <is>
          <t>Salary Structure Mapping</t>
        </is>
      </c>
      <c r="D368" s="4" t="inlineStr">
        <is>
          <t>Payroll Ops</t>
        </is>
      </c>
      <c r="E368" s="5" t="n">
        <v>46293</v>
      </c>
      <c r="F368" s="4" t="inlineStr">
        <is>
          <t>Pending</t>
        </is>
      </c>
      <c r="G368" s="4">
        <f>IFERROR(INDEX('01_Customer_Tracker'!$B:$B,MATCH(B368,'01_Customer_Tracker'!$A:$A,0)),"")</f>
        <v/>
      </c>
    </row>
    <row r="369">
      <c r="A369" s="4" t="inlineStr">
        <is>
          <t>T0368</t>
        </is>
      </c>
      <c r="B369" s="4" t="inlineStr">
        <is>
          <t>C041</t>
        </is>
      </c>
      <c r="C369" s="4" t="inlineStr">
        <is>
          <t>Pre-run Reconciliation</t>
        </is>
      </c>
      <c r="D369" s="4" t="inlineStr">
        <is>
          <t>Payroll Ops</t>
        </is>
      </c>
      <c r="E369" s="5" t="n">
        <v>46298</v>
      </c>
      <c r="F369" s="4" t="inlineStr">
        <is>
          <t>Pending</t>
        </is>
      </c>
      <c r="G369" s="4">
        <f>IFERROR(INDEX('01_Customer_Tracker'!$B:$B,MATCH(B369,'01_Customer_Tracker'!$A:$A,0)),"")</f>
        <v/>
      </c>
    </row>
    <row r="370">
      <c r="A370" s="4" t="inlineStr">
        <is>
          <t>T0369</t>
        </is>
      </c>
      <c r="B370" s="4" t="inlineStr">
        <is>
          <t>C041</t>
        </is>
      </c>
      <c r="C370" s="4" t="inlineStr">
        <is>
          <t>Customer Approval Sign-off</t>
        </is>
      </c>
      <c r="D370" s="4" t="inlineStr">
        <is>
          <t>Customer</t>
        </is>
      </c>
      <c r="E370" s="5" t="n">
        <v>46302</v>
      </c>
      <c r="F370" s="4" t="inlineStr">
        <is>
          <t>Pending</t>
        </is>
      </c>
      <c r="G370" s="4">
        <f>IFERROR(INDEX('01_Customer_Tracker'!$B:$B,MATCH(B370,'01_Customer_Tracker'!$A:$A,0)),"")</f>
        <v/>
      </c>
    </row>
    <row r="371">
      <c r="A371" s="4" t="inlineStr">
        <is>
          <t>T0370</t>
        </is>
      </c>
      <c r="B371" s="4" t="inlineStr">
        <is>
          <t>C042</t>
        </is>
      </c>
      <c r="C371" s="4" t="inlineStr">
        <is>
          <t>Company Info &amp; KYC</t>
        </is>
      </c>
      <c r="D371" s="4" t="inlineStr">
        <is>
          <t>Customer</t>
        </is>
      </c>
      <c r="E371" s="5" t="n">
        <v>46247</v>
      </c>
      <c r="F371" s="4" t="inlineStr">
        <is>
          <t>In Progress</t>
        </is>
      </c>
      <c r="G371" s="4">
        <f>IFERROR(INDEX('01_Customer_Tracker'!$B:$B,MATCH(B371,'01_Customer_Tracker'!$A:$A,0)),"")</f>
        <v/>
      </c>
    </row>
    <row r="372">
      <c r="A372" s="4" t="inlineStr">
        <is>
          <t>T0371</t>
        </is>
      </c>
      <c r="B372" s="4" t="inlineStr">
        <is>
          <t>C042</t>
        </is>
      </c>
      <c r="C372" s="4" t="inlineStr">
        <is>
          <t>Document Collection</t>
        </is>
      </c>
      <c r="D372" s="4" t="inlineStr">
        <is>
          <t>Customer</t>
        </is>
      </c>
      <c r="E372" s="5" t="n">
        <v>46250</v>
      </c>
      <c r="F372" s="4" t="inlineStr">
        <is>
          <t>Pending</t>
        </is>
      </c>
      <c r="G372" s="4">
        <f>IFERROR(INDEX('01_Customer_Tracker'!$B:$B,MATCH(B372,'01_Customer_Tracker'!$A:$A,0)),"")</f>
        <v/>
      </c>
    </row>
    <row r="373">
      <c r="A373" s="4" t="inlineStr">
        <is>
          <t>T0372</t>
        </is>
      </c>
      <c r="B373" s="4" t="inlineStr">
        <is>
          <t>C042</t>
        </is>
      </c>
      <c r="C373" s="4" t="inlineStr">
        <is>
          <t>Employee Data Upload</t>
        </is>
      </c>
      <c r="D373" s="4" t="inlineStr">
        <is>
          <t>Customer</t>
        </is>
      </c>
      <c r="E373" s="5" t="n">
        <v>46254</v>
      </c>
      <c r="F373" s="4" t="inlineStr">
        <is>
          <t>Pending</t>
        </is>
      </c>
      <c r="G373" s="4">
        <f>IFERROR(INDEX('01_Customer_Tracker'!$B:$B,MATCH(B373,'01_Customer_Tracker'!$A:$A,0)),"")</f>
        <v/>
      </c>
    </row>
    <row r="374">
      <c r="A374" s="4" t="inlineStr">
        <is>
          <t>T0373</t>
        </is>
      </c>
      <c r="B374" s="4" t="inlineStr">
        <is>
          <t>C042</t>
        </is>
      </c>
      <c r="C374" s="4" t="inlineStr">
        <is>
          <t>Bank Details Verification</t>
        </is>
      </c>
      <c r="D374" s="4" t="inlineStr">
        <is>
          <t>Ops</t>
        </is>
      </c>
      <c r="E374" s="5" t="n">
        <v>46258</v>
      </c>
      <c r="F374" s="4" t="inlineStr">
        <is>
          <t>Pending</t>
        </is>
      </c>
      <c r="G374" s="4">
        <f>IFERROR(INDEX('01_Customer_Tracker'!$B:$B,MATCH(B374,'01_Customer_Tracker'!$A:$A,0)),"")</f>
        <v/>
      </c>
    </row>
    <row r="375">
      <c r="A375" s="4" t="inlineStr">
        <is>
          <t>T0374</t>
        </is>
      </c>
      <c r="B375" s="4" t="inlineStr">
        <is>
          <t>C042</t>
        </is>
      </c>
      <c r="C375" s="4" t="inlineStr">
        <is>
          <t>PAN / UAN Verification</t>
        </is>
      </c>
      <c r="D375" s="4" t="inlineStr">
        <is>
          <t>Ops</t>
        </is>
      </c>
      <c r="E375" s="5" t="n">
        <v>46260</v>
      </c>
      <c r="F375" s="4" t="inlineStr">
        <is>
          <t>Pending</t>
        </is>
      </c>
      <c r="G375" s="4">
        <f>IFERROR(INDEX('01_Customer_Tracker'!$B:$B,MATCH(B375,'01_Customer_Tracker'!$A:$A,0)),"")</f>
        <v/>
      </c>
    </row>
    <row r="376">
      <c r="A376" s="4" t="inlineStr">
        <is>
          <t>T0375</t>
        </is>
      </c>
      <c r="B376" s="4" t="inlineStr">
        <is>
          <t>C042</t>
        </is>
      </c>
      <c r="C376" s="4" t="inlineStr">
        <is>
          <t>Attendance &amp; Leave Config</t>
        </is>
      </c>
      <c r="D376" s="4" t="inlineStr">
        <is>
          <t>Payroll Ops</t>
        </is>
      </c>
      <c r="E376" s="5" t="n">
        <v>46264</v>
      </c>
      <c r="F376" s="4" t="inlineStr">
        <is>
          <t>Pending</t>
        </is>
      </c>
      <c r="G376" s="4">
        <f>IFERROR(INDEX('01_Customer_Tracker'!$B:$B,MATCH(B376,'01_Customer_Tracker'!$A:$A,0)),"")</f>
        <v/>
      </c>
    </row>
    <row r="377">
      <c r="A377" s="4" t="inlineStr">
        <is>
          <t>T0376</t>
        </is>
      </c>
      <c r="B377" s="4" t="inlineStr">
        <is>
          <t>C042</t>
        </is>
      </c>
      <c r="C377" s="4" t="inlineStr">
        <is>
          <t>Salary Structure Mapping</t>
        </is>
      </c>
      <c r="D377" s="4" t="inlineStr">
        <is>
          <t>Payroll Ops</t>
        </is>
      </c>
      <c r="E377" s="5" t="n">
        <v>46267</v>
      </c>
      <c r="F377" s="4" t="inlineStr">
        <is>
          <t>Pending</t>
        </is>
      </c>
      <c r="G377" s="4">
        <f>IFERROR(INDEX('01_Customer_Tracker'!$B:$B,MATCH(B377,'01_Customer_Tracker'!$A:$A,0)),"")</f>
        <v/>
      </c>
    </row>
    <row r="378">
      <c r="A378" s="4" t="inlineStr">
        <is>
          <t>T0377</t>
        </is>
      </c>
      <c r="B378" s="4" t="inlineStr">
        <is>
          <t>C042</t>
        </is>
      </c>
      <c r="C378" s="4" t="inlineStr">
        <is>
          <t>Pre-run Reconciliation</t>
        </is>
      </c>
      <c r="D378" s="4" t="inlineStr">
        <is>
          <t>Payroll Ops</t>
        </is>
      </c>
      <c r="E378" s="5" t="n">
        <v>46272</v>
      </c>
      <c r="F378" s="4" t="inlineStr">
        <is>
          <t>Pending</t>
        </is>
      </c>
      <c r="G378" s="4">
        <f>IFERROR(INDEX('01_Customer_Tracker'!$B:$B,MATCH(B378,'01_Customer_Tracker'!$A:$A,0)),"")</f>
        <v/>
      </c>
    </row>
    <row r="379">
      <c r="A379" s="4" t="inlineStr">
        <is>
          <t>T0378</t>
        </is>
      </c>
      <c r="B379" s="4" t="inlineStr">
        <is>
          <t>C042</t>
        </is>
      </c>
      <c r="C379" s="4" t="inlineStr">
        <is>
          <t>Customer Approval Sign-off</t>
        </is>
      </c>
      <c r="D379" s="4" t="inlineStr">
        <is>
          <t>Customer</t>
        </is>
      </c>
      <c r="E379" s="5" t="n">
        <v>46276</v>
      </c>
      <c r="F379" s="4" t="inlineStr">
        <is>
          <t>Pending</t>
        </is>
      </c>
      <c r="G379" s="4">
        <f>IFERROR(INDEX('01_Customer_Tracker'!$B:$B,MATCH(B379,'01_Customer_Tracker'!$A:$A,0)),"")</f>
        <v/>
      </c>
    </row>
    <row r="380">
      <c r="A380" s="4" t="inlineStr">
        <is>
          <t>T0379</t>
        </is>
      </c>
      <c r="B380" s="4" t="inlineStr">
        <is>
          <t>C043</t>
        </is>
      </c>
      <c r="C380" s="4" t="inlineStr">
        <is>
          <t>Company Info &amp; KYC</t>
        </is>
      </c>
      <c r="D380" s="4" t="inlineStr">
        <is>
          <t>Customer</t>
        </is>
      </c>
      <c r="E380" s="5" t="n">
        <v>46212</v>
      </c>
      <c r="F380" s="4" t="inlineStr">
        <is>
          <t>Completed</t>
        </is>
      </c>
      <c r="G380" s="4">
        <f>IFERROR(INDEX('01_Customer_Tracker'!$B:$B,MATCH(B380,'01_Customer_Tracker'!$A:$A,0)),"")</f>
        <v/>
      </c>
    </row>
    <row r="381">
      <c r="A381" s="4" t="inlineStr">
        <is>
          <t>T0380</t>
        </is>
      </c>
      <c r="B381" s="4" t="inlineStr">
        <is>
          <t>C043</t>
        </is>
      </c>
      <c r="C381" s="4" t="inlineStr">
        <is>
          <t>Document Collection</t>
        </is>
      </c>
      <c r="D381" s="4" t="inlineStr">
        <is>
          <t>Customer</t>
        </is>
      </c>
      <c r="E381" s="5" t="n">
        <v>46215</v>
      </c>
      <c r="F381" s="4" t="inlineStr">
        <is>
          <t>Completed</t>
        </is>
      </c>
      <c r="G381" s="4">
        <f>IFERROR(INDEX('01_Customer_Tracker'!$B:$B,MATCH(B381,'01_Customer_Tracker'!$A:$A,0)),"")</f>
        <v/>
      </c>
    </row>
    <row r="382">
      <c r="A382" s="4" t="inlineStr">
        <is>
          <t>T0381</t>
        </is>
      </c>
      <c r="B382" s="4" t="inlineStr">
        <is>
          <t>C043</t>
        </is>
      </c>
      <c r="C382" s="4" t="inlineStr">
        <is>
          <t>Employee Data Upload</t>
        </is>
      </c>
      <c r="D382" s="4" t="inlineStr">
        <is>
          <t>Customer</t>
        </is>
      </c>
      <c r="E382" s="5" t="n">
        <v>46219</v>
      </c>
      <c r="F382" s="4" t="inlineStr">
        <is>
          <t>Completed</t>
        </is>
      </c>
      <c r="G382" s="4">
        <f>IFERROR(INDEX('01_Customer_Tracker'!$B:$B,MATCH(B382,'01_Customer_Tracker'!$A:$A,0)),"")</f>
        <v/>
      </c>
    </row>
    <row r="383">
      <c r="A383" s="4" t="inlineStr">
        <is>
          <t>T0382</t>
        </is>
      </c>
      <c r="B383" s="4" t="inlineStr">
        <is>
          <t>C043</t>
        </is>
      </c>
      <c r="C383" s="4" t="inlineStr">
        <is>
          <t>Bank Details Verification</t>
        </is>
      </c>
      <c r="D383" s="4" t="inlineStr">
        <is>
          <t>Ops</t>
        </is>
      </c>
      <c r="E383" s="5" t="n">
        <v>46223</v>
      </c>
      <c r="F383" s="4" t="inlineStr">
        <is>
          <t>Completed</t>
        </is>
      </c>
      <c r="G383" s="4">
        <f>IFERROR(INDEX('01_Customer_Tracker'!$B:$B,MATCH(B383,'01_Customer_Tracker'!$A:$A,0)),"")</f>
        <v/>
      </c>
    </row>
    <row r="384">
      <c r="A384" s="4" t="inlineStr">
        <is>
          <t>T0383</t>
        </is>
      </c>
      <c r="B384" s="4" t="inlineStr">
        <is>
          <t>C043</t>
        </is>
      </c>
      <c r="C384" s="4" t="inlineStr">
        <is>
          <t>PAN / UAN Verification</t>
        </is>
      </c>
      <c r="D384" s="4" t="inlineStr">
        <is>
          <t>Ops</t>
        </is>
      </c>
      <c r="E384" s="5" t="n">
        <v>46225</v>
      </c>
      <c r="F384" s="4" t="inlineStr">
        <is>
          <t>Completed</t>
        </is>
      </c>
      <c r="G384" s="4">
        <f>IFERROR(INDEX('01_Customer_Tracker'!$B:$B,MATCH(B384,'01_Customer_Tracker'!$A:$A,0)),"")</f>
        <v/>
      </c>
    </row>
    <row r="385">
      <c r="A385" s="4" t="inlineStr">
        <is>
          <t>T0384</t>
        </is>
      </c>
      <c r="B385" s="4" t="inlineStr">
        <is>
          <t>C043</t>
        </is>
      </c>
      <c r="C385" s="4" t="inlineStr">
        <is>
          <t>Attendance &amp; Leave Config</t>
        </is>
      </c>
      <c r="D385" s="4" t="inlineStr">
        <is>
          <t>Payroll Ops</t>
        </is>
      </c>
      <c r="E385" s="5" t="n">
        <v>46229</v>
      </c>
      <c r="F385" s="4" t="inlineStr">
        <is>
          <t>Completed</t>
        </is>
      </c>
      <c r="G385" s="4">
        <f>IFERROR(INDEX('01_Customer_Tracker'!$B:$B,MATCH(B385,'01_Customer_Tracker'!$A:$A,0)),"")</f>
        <v/>
      </c>
    </row>
    <row r="386">
      <c r="A386" s="4" t="inlineStr">
        <is>
          <t>T0385</t>
        </is>
      </c>
      <c r="B386" s="4" t="inlineStr">
        <is>
          <t>C043</t>
        </is>
      </c>
      <c r="C386" s="4" t="inlineStr">
        <is>
          <t>Salary Structure Mapping</t>
        </is>
      </c>
      <c r="D386" s="4" t="inlineStr">
        <is>
          <t>Payroll Ops</t>
        </is>
      </c>
      <c r="E386" s="5" t="n">
        <v>46232</v>
      </c>
      <c r="F386" s="4" t="inlineStr">
        <is>
          <t>Completed</t>
        </is>
      </c>
      <c r="G386" s="4">
        <f>IFERROR(INDEX('01_Customer_Tracker'!$B:$B,MATCH(B386,'01_Customer_Tracker'!$A:$A,0)),"")</f>
        <v/>
      </c>
    </row>
    <row r="387">
      <c r="A387" s="4" t="inlineStr">
        <is>
          <t>T0386</t>
        </is>
      </c>
      <c r="B387" s="4" t="inlineStr">
        <is>
          <t>C043</t>
        </is>
      </c>
      <c r="C387" s="4" t="inlineStr">
        <is>
          <t>Pre-run Reconciliation</t>
        </is>
      </c>
      <c r="D387" s="4" t="inlineStr">
        <is>
          <t>Payroll Ops</t>
        </is>
      </c>
      <c r="E387" s="5" t="n">
        <v>46237</v>
      </c>
      <c r="F387" s="4" t="inlineStr">
        <is>
          <t>Completed</t>
        </is>
      </c>
      <c r="G387" s="4">
        <f>IFERROR(INDEX('01_Customer_Tracker'!$B:$B,MATCH(B387,'01_Customer_Tracker'!$A:$A,0)),"")</f>
        <v/>
      </c>
    </row>
    <row r="388">
      <c r="A388" s="4" t="inlineStr">
        <is>
          <t>T0387</t>
        </is>
      </c>
      <c r="B388" s="4" t="inlineStr">
        <is>
          <t>C043</t>
        </is>
      </c>
      <c r="C388" s="4" t="inlineStr">
        <is>
          <t>Customer Approval Sign-off</t>
        </is>
      </c>
      <c r="D388" s="4" t="inlineStr">
        <is>
          <t>Customer</t>
        </is>
      </c>
      <c r="E388" s="5" t="n">
        <v>46241</v>
      </c>
      <c r="F388" s="4" t="inlineStr">
        <is>
          <t>Pending</t>
        </is>
      </c>
      <c r="G388" s="4">
        <f>IFERROR(INDEX('01_Customer_Tracker'!$B:$B,MATCH(B388,'01_Customer_Tracker'!$A:$A,0)),"")</f>
        <v/>
      </c>
    </row>
    <row r="389">
      <c r="A389" s="4" t="inlineStr">
        <is>
          <t>T0388</t>
        </is>
      </c>
      <c r="B389" s="4" t="inlineStr">
        <is>
          <t>C044</t>
        </is>
      </c>
      <c r="C389" s="4" t="inlineStr">
        <is>
          <t>Company Info &amp; KYC</t>
        </is>
      </c>
      <c r="D389" s="4" t="inlineStr">
        <is>
          <t>Customer</t>
        </is>
      </c>
      <c r="E389" s="5" t="n">
        <v>46219</v>
      </c>
      <c r="F389" s="4" t="inlineStr">
        <is>
          <t>Completed</t>
        </is>
      </c>
      <c r="G389" s="4">
        <f>IFERROR(INDEX('01_Customer_Tracker'!$B:$B,MATCH(B389,'01_Customer_Tracker'!$A:$A,0)),"")</f>
        <v/>
      </c>
    </row>
    <row r="390">
      <c r="A390" s="4" t="inlineStr">
        <is>
          <t>T0389</t>
        </is>
      </c>
      <c r="B390" s="4" t="inlineStr">
        <is>
          <t>C044</t>
        </is>
      </c>
      <c r="C390" s="4" t="inlineStr">
        <is>
          <t>Document Collection</t>
        </is>
      </c>
      <c r="D390" s="4" t="inlineStr">
        <is>
          <t>Customer</t>
        </is>
      </c>
      <c r="E390" s="5" t="n">
        <v>46222</v>
      </c>
      <c r="F390" s="4" t="inlineStr">
        <is>
          <t>Completed</t>
        </is>
      </c>
      <c r="G390" s="4">
        <f>IFERROR(INDEX('01_Customer_Tracker'!$B:$B,MATCH(B390,'01_Customer_Tracker'!$A:$A,0)),"")</f>
        <v/>
      </c>
    </row>
    <row r="391">
      <c r="A391" s="4" t="inlineStr">
        <is>
          <t>T0390</t>
        </is>
      </c>
      <c r="B391" s="4" t="inlineStr">
        <is>
          <t>C044</t>
        </is>
      </c>
      <c r="C391" s="4" t="inlineStr">
        <is>
          <t>Employee Data Upload</t>
        </is>
      </c>
      <c r="D391" s="4" t="inlineStr">
        <is>
          <t>Customer</t>
        </is>
      </c>
      <c r="E391" s="5" t="n">
        <v>46226</v>
      </c>
      <c r="F391" s="4" t="inlineStr">
        <is>
          <t>Completed</t>
        </is>
      </c>
      <c r="G391" s="4">
        <f>IFERROR(INDEX('01_Customer_Tracker'!$B:$B,MATCH(B391,'01_Customer_Tracker'!$A:$A,0)),"")</f>
        <v/>
      </c>
    </row>
    <row r="392">
      <c r="A392" s="4" t="inlineStr">
        <is>
          <t>T0391</t>
        </is>
      </c>
      <c r="B392" s="4" t="inlineStr">
        <is>
          <t>C044</t>
        </is>
      </c>
      <c r="C392" s="4" t="inlineStr">
        <is>
          <t>Bank Details Verification</t>
        </is>
      </c>
      <c r="D392" s="4" t="inlineStr">
        <is>
          <t>Ops</t>
        </is>
      </c>
      <c r="E392" s="5" t="n">
        <v>46230</v>
      </c>
      <c r="F392" s="4" t="inlineStr">
        <is>
          <t>Completed</t>
        </is>
      </c>
      <c r="G392" s="4">
        <f>IFERROR(INDEX('01_Customer_Tracker'!$B:$B,MATCH(B392,'01_Customer_Tracker'!$A:$A,0)),"")</f>
        <v/>
      </c>
    </row>
    <row r="393">
      <c r="A393" s="4" t="inlineStr">
        <is>
          <t>T0392</t>
        </is>
      </c>
      <c r="B393" s="4" t="inlineStr">
        <is>
          <t>C044</t>
        </is>
      </c>
      <c r="C393" s="4" t="inlineStr">
        <is>
          <t>PAN / UAN Verification</t>
        </is>
      </c>
      <c r="D393" s="4" t="inlineStr">
        <is>
          <t>Ops</t>
        </is>
      </c>
      <c r="E393" s="5" t="n">
        <v>46232</v>
      </c>
      <c r="F393" s="4" t="inlineStr">
        <is>
          <t>Completed</t>
        </is>
      </c>
      <c r="G393" s="4">
        <f>IFERROR(INDEX('01_Customer_Tracker'!$B:$B,MATCH(B393,'01_Customer_Tracker'!$A:$A,0)),"")</f>
        <v/>
      </c>
    </row>
    <row r="394">
      <c r="A394" s="4" t="inlineStr">
        <is>
          <t>T0393</t>
        </is>
      </c>
      <c r="B394" s="4" t="inlineStr">
        <is>
          <t>C044</t>
        </is>
      </c>
      <c r="C394" s="4" t="inlineStr">
        <is>
          <t>Attendance &amp; Leave Config</t>
        </is>
      </c>
      <c r="D394" s="4" t="inlineStr">
        <is>
          <t>Payroll Ops</t>
        </is>
      </c>
      <c r="E394" s="5" t="n">
        <v>46236</v>
      </c>
      <c r="F394" s="4" t="inlineStr">
        <is>
          <t>Completed</t>
        </is>
      </c>
      <c r="G394" s="4">
        <f>IFERROR(INDEX('01_Customer_Tracker'!$B:$B,MATCH(B394,'01_Customer_Tracker'!$A:$A,0)),"")</f>
        <v/>
      </c>
    </row>
    <row r="395">
      <c r="A395" s="4" t="inlineStr">
        <is>
          <t>T0394</t>
        </is>
      </c>
      <c r="B395" s="4" t="inlineStr">
        <is>
          <t>C044</t>
        </is>
      </c>
      <c r="C395" s="4" t="inlineStr">
        <is>
          <t>Salary Structure Mapping</t>
        </is>
      </c>
      <c r="D395" s="4" t="inlineStr">
        <is>
          <t>Payroll Ops</t>
        </is>
      </c>
      <c r="E395" s="5" t="n">
        <v>46239</v>
      </c>
      <c r="F395" s="4" t="inlineStr">
        <is>
          <t>Completed</t>
        </is>
      </c>
      <c r="G395" s="4">
        <f>IFERROR(INDEX('01_Customer_Tracker'!$B:$B,MATCH(B395,'01_Customer_Tracker'!$A:$A,0)),"")</f>
        <v/>
      </c>
    </row>
    <row r="396">
      <c r="A396" s="4" t="inlineStr">
        <is>
          <t>T0395</t>
        </is>
      </c>
      <c r="B396" s="4" t="inlineStr">
        <is>
          <t>C044</t>
        </is>
      </c>
      <c r="C396" s="4" t="inlineStr">
        <is>
          <t>Pre-run Reconciliation</t>
        </is>
      </c>
      <c r="D396" s="4" t="inlineStr">
        <is>
          <t>Payroll Ops</t>
        </is>
      </c>
      <c r="E396" s="5" t="n">
        <v>46244</v>
      </c>
      <c r="F396" s="4" t="inlineStr">
        <is>
          <t>Completed</t>
        </is>
      </c>
      <c r="G396" s="4">
        <f>IFERROR(INDEX('01_Customer_Tracker'!$B:$B,MATCH(B396,'01_Customer_Tracker'!$A:$A,0)),"")</f>
        <v/>
      </c>
    </row>
    <row r="397">
      <c r="A397" s="4" t="inlineStr">
        <is>
          <t>T0396</t>
        </is>
      </c>
      <c r="B397" s="4" t="inlineStr">
        <is>
          <t>C044</t>
        </is>
      </c>
      <c r="C397" s="4" t="inlineStr">
        <is>
          <t>Customer Approval Sign-off</t>
        </is>
      </c>
      <c r="D397" s="4" t="inlineStr">
        <is>
          <t>Customer</t>
        </is>
      </c>
      <c r="E397" s="5" t="n">
        <v>46248</v>
      </c>
      <c r="F397" s="4" t="inlineStr">
        <is>
          <t>Completed</t>
        </is>
      </c>
      <c r="G397" s="4">
        <f>IFERROR(INDEX('01_Customer_Tracker'!$B:$B,MATCH(B397,'01_Customer_Tracker'!$A:$A,0)),"")</f>
        <v/>
      </c>
    </row>
    <row r="398">
      <c r="A398" s="4" t="inlineStr">
        <is>
          <t>T0397</t>
        </is>
      </c>
      <c r="B398" s="4" t="inlineStr">
        <is>
          <t>C045</t>
        </is>
      </c>
      <c r="C398" s="4" t="inlineStr">
        <is>
          <t>Company Info &amp; KYC</t>
        </is>
      </c>
      <c r="D398" s="4" t="inlineStr">
        <is>
          <t>Customer</t>
        </is>
      </c>
      <c r="E398" s="5" t="n">
        <v>46239</v>
      </c>
      <c r="F398" s="4" t="inlineStr">
        <is>
          <t>Completed</t>
        </is>
      </c>
      <c r="G398" s="4">
        <f>IFERROR(INDEX('01_Customer_Tracker'!$B:$B,MATCH(B398,'01_Customer_Tracker'!$A:$A,0)),"")</f>
        <v/>
      </c>
    </row>
    <row r="399">
      <c r="A399" s="4" t="inlineStr">
        <is>
          <t>T0398</t>
        </is>
      </c>
      <c r="B399" s="4" t="inlineStr">
        <is>
          <t>C045</t>
        </is>
      </c>
      <c r="C399" s="4" t="inlineStr">
        <is>
          <t>Document Collection</t>
        </is>
      </c>
      <c r="D399" s="4" t="inlineStr">
        <is>
          <t>Customer</t>
        </is>
      </c>
      <c r="E399" s="5" t="n">
        <v>46242</v>
      </c>
      <c r="F399" s="4" t="inlineStr">
        <is>
          <t>Completed</t>
        </is>
      </c>
      <c r="G399" s="4">
        <f>IFERROR(INDEX('01_Customer_Tracker'!$B:$B,MATCH(B399,'01_Customer_Tracker'!$A:$A,0)),"")</f>
        <v/>
      </c>
    </row>
    <row r="400">
      <c r="A400" s="4" t="inlineStr">
        <is>
          <t>T0399</t>
        </is>
      </c>
      <c r="B400" s="4" t="inlineStr">
        <is>
          <t>C045</t>
        </is>
      </c>
      <c r="C400" s="4" t="inlineStr">
        <is>
          <t>Employee Data Upload</t>
        </is>
      </c>
      <c r="D400" s="4" t="inlineStr">
        <is>
          <t>Customer</t>
        </is>
      </c>
      <c r="E400" s="5" t="n">
        <v>46246</v>
      </c>
      <c r="F400" s="4" t="inlineStr">
        <is>
          <t>Completed</t>
        </is>
      </c>
      <c r="G400" s="4">
        <f>IFERROR(INDEX('01_Customer_Tracker'!$B:$B,MATCH(B400,'01_Customer_Tracker'!$A:$A,0)),"")</f>
        <v/>
      </c>
    </row>
    <row r="401">
      <c r="A401" s="4" t="inlineStr">
        <is>
          <t>T0400</t>
        </is>
      </c>
      <c r="B401" s="4" t="inlineStr">
        <is>
          <t>C045</t>
        </is>
      </c>
      <c r="C401" s="4" t="inlineStr">
        <is>
          <t>Bank Details Verification</t>
        </is>
      </c>
      <c r="D401" s="4" t="inlineStr">
        <is>
          <t>Ops</t>
        </is>
      </c>
      <c r="E401" s="5" t="n">
        <v>46250</v>
      </c>
      <c r="F401" s="4" t="inlineStr">
        <is>
          <t>Completed</t>
        </is>
      </c>
      <c r="G401" s="4">
        <f>IFERROR(INDEX('01_Customer_Tracker'!$B:$B,MATCH(B401,'01_Customer_Tracker'!$A:$A,0)),"")</f>
        <v/>
      </c>
    </row>
    <row r="402">
      <c r="A402" s="4" t="inlineStr">
        <is>
          <t>T0401</t>
        </is>
      </c>
      <c r="B402" s="4" t="inlineStr">
        <is>
          <t>C045</t>
        </is>
      </c>
      <c r="C402" s="4" t="inlineStr">
        <is>
          <t>PAN / UAN Verification</t>
        </is>
      </c>
      <c r="D402" s="4" t="inlineStr">
        <is>
          <t>Ops</t>
        </is>
      </c>
      <c r="E402" s="5" t="n">
        <v>46252</v>
      </c>
      <c r="F402" s="4" t="inlineStr">
        <is>
          <t>Completed</t>
        </is>
      </c>
      <c r="G402" s="4">
        <f>IFERROR(INDEX('01_Customer_Tracker'!$B:$B,MATCH(B402,'01_Customer_Tracker'!$A:$A,0)),"")</f>
        <v/>
      </c>
    </row>
    <row r="403">
      <c r="A403" s="4" t="inlineStr">
        <is>
          <t>T0402</t>
        </is>
      </c>
      <c r="B403" s="4" t="inlineStr">
        <is>
          <t>C045</t>
        </is>
      </c>
      <c r="C403" s="4" t="inlineStr">
        <is>
          <t>Attendance &amp; Leave Config</t>
        </is>
      </c>
      <c r="D403" s="4" t="inlineStr">
        <is>
          <t>Payroll Ops</t>
        </is>
      </c>
      <c r="E403" s="5" t="n">
        <v>46256</v>
      </c>
      <c r="F403" s="4" t="inlineStr">
        <is>
          <t>Pending</t>
        </is>
      </c>
      <c r="G403" s="4">
        <f>IFERROR(INDEX('01_Customer_Tracker'!$B:$B,MATCH(B403,'01_Customer_Tracker'!$A:$A,0)),"")</f>
        <v/>
      </c>
    </row>
    <row r="404">
      <c r="A404" s="4" t="inlineStr">
        <is>
          <t>T0403</t>
        </is>
      </c>
      <c r="B404" s="4" t="inlineStr">
        <is>
          <t>C045</t>
        </is>
      </c>
      <c r="C404" s="4" t="inlineStr">
        <is>
          <t>Salary Structure Mapping</t>
        </is>
      </c>
      <c r="D404" s="4" t="inlineStr">
        <is>
          <t>Payroll Ops</t>
        </is>
      </c>
      <c r="E404" s="5" t="n">
        <v>46259</v>
      </c>
      <c r="F404" s="4" t="inlineStr">
        <is>
          <t>Pending</t>
        </is>
      </c>
      <c r="G404" s="4">
        <f>IFERROR(INDEX('01_Customer_Tracker'!$B:$B,MATCH(B404,'01_Customer_Tracker'!$A:$A,0)),"")</f>
        <v/>
      </c>
    </row>
    <row r="405">
      <c r="A405" s="4" t="inlineStr">
        <is>
          <t>T0404</t>
        </is>
      </c>
      <c r="B405" s="4" t="inlineStr">
        <is>
          <t>C045</t>
        </is>
      </c>
      <c r="C405" s="4" t="inlineStr">
        <is>
          <t>Pre-run Reconciliation</t>
        </is>
      </c>
      <c r="D405" s="4" t="inlineStr">
        <is>
          <t>Payroll Ops</t>
        </is>
      </c>
      <c r="E405" s="5" t="n">
        <v>46264</v>
      </c>
      <c r="F405" s="4" t="inlineStr">
        <is>
          <t>Pending</t>
        </is>
      </c>
      <c r="G405" s="4">
        <f>IFERROR(INDEX('01_Customer_Tracker'!$B:$B,MATCH(B405,'01_Customer_Tracker'!$A:$A,0)),"")</f>
        <v/>
      </c>
    </row>
    <row r="406">
      <c r="A406" s="4" t="inlineStr">
        <is>
          <t>T0405</t>
        </is>
      </c>
      <c r="B406" s="4" t="inlineStr">
        <is>
          <t>C045</t>
        </is>
      </c>
      <c r="C406" s="4" t="inlineStr">
        <is>
          <t>Customer Approval Sign-off</t>
        </is>
      </c>
      <c r="D406" s="4" t="inlineStr">
        <is>
          <t>Customer</t>
        </is>
      </c>
      <c r="E406" s="5" t="n">
        <v>46268</v>
      </c>
      <c r="F406" s="4" t="inlineStr">
        <is>
          <t>Pending</t>
        </is>
      </c>
      <c r="G406" s="4">
        <f>IFERROR(INDEX('01_Customer_Tracker'!$B:$B,MATCH(B406,'01_Customer_Tracker'!$A:$A,0)),"")</f>
        <v/>
      </c>
    </row>
    <row r="407">
      <c r="A407" s="4" t="inlineStr">
        <is>
          <t>T0406</t>
        </is>
      </c>
      <c r="B407" s="4" t="inlineStr">
        <is>
          <t>C046</t>
        </is>
      </c>
      <c r="C407" s="4" t="inlineStr">
        <is>
          <t>Company Info &amp; KYC</t>
        </is>
      </c>
      <c r="D407" s="4" t="inlineStr">
        <is>
          <t>Customer</t>
        </is>
      </c>
      <c r="E407" s="5" t="n">
        <v>46255</v>
      </c>
      <c r="F407" s="4" t="inlineStr">
        <is>
          <t>Completed</t>
        </is>
      </c>
      <c r="G407" s="4">
        <f>IFERROR(INDEX('01_Customer_Tracker'!$B:$B,MATCH(B407,'01_Customer_Tracker'!$A:$A,0)),"")</f>
        <v/>
      </c>
    </row>
    <row r="408">
      <c r="A408" s="4" t="inlineStr">
        <is>
          <t>T0407</t>
        </is>
      </c>
      <c r="B408" s="4" t="inlineStr">
        <is>
          <t>C046</t>
        </is>
      </c>
      <c r="C408" s="4" t="inlineStr">
        <is>
          <t>Document Collection</t>
        </is>
      </c>
      <c r="D408" s="4" t="inlineStr">
        <is>
          <t>Customer</t>
        </is>
      </c>
      <c r="E408" s="5" t="n">
        <v>46258</v>
      </c>
      <c r="F408" s="4" t="inlineStr">
        <is>
          <t>Completed</t>
        </is>
      </c>
      <c r="G408" s="4">
        <f>IFERROR(INDEX('01_Customer_Tracker'!$B:$B,MATCH(B408,'01_Customer_Tracker'!$A:$A,0)),"")</f>
        <v/>
      </c>
    </row>
    <row r="409">
      <c r="A409" s="4" t="inlineStr">
        <is>
          <t>T0408</t>
        </is>
      </c>
      <c r="B409" s="4" t="inlineStr">
        <is>
          <t>C046</t>
        </is>
      </c>
      <c r="C409" s="4" t="inlineStr">
        <is>
          <t>Employee Data Upload</t>
        </is>
      </c>
      <c r="D409" s="4" t="inlineStr">
        <is>
          <t>Customer</t>
        </is>
      </c>
      <c r="E409" s="5" t="n">
        <v>46262</v>
      </c>
      <c r="F409" s="4" t="inlineStr">
        <is>
          <t>Completed</t>
        </is>
      </c>
      <c r="G409" s="4">
        <f>IFERROR(INDEX('01_Customer_Tracker'!$B:$B,MATCH(B409,'01_Customer_Tracker'!$A:$A,0)),"")</f>
        <v/>
      </c>
    </row>
    <row r="410">
      <c r="A410" s="4" t="inlineStr">
        <is>
          <t>T0409</t>
        </is>
      </c>
      <c r="B410" s="4" t="inlineStr">
        <is>
          <t>C046</t>
        </is>
      </c>
      <c r="C410" s="4" t="inlineStr">
        <is>
          <t>Bank Details Verification</t>
        </is>
      </c>
      <c r="D410" s="4" t="inlineStr">
        <is>
          <t>Ops</t>
        </is>
      </c>
      <c r="E410" s="5" t="n">
        <v>46266</v>
      </c>
      <c r="F410" s="4" t="inlineStr">
        <is>
          <t>In Progress</t>
        </is>
      </c>
      <c r="G410" s="4">
        <f>IFERROR(INDEX('01_Customer_Tracker'!$B:$B,MATCH(B410,'01_Customer_Tracker'!$A:$A,0)),"")</f>
        <v/>
      </c>
    </row>
    <row r="411">
      <c r="A411" s="4" t="inlineStr">
        <is>
          <t>T0410</t>
        </is>
      </c>
      <c r="B411" s="4" t="inlineStr">
        <is>
          <t>C046</t>
        </is>
      </c>
      <c r="C411" s="4" t="inlineStr">
        <is>
          <t>PAN / UAN Verification</t>
        </is>
      </c>
      <c r="D411" s="4" t="inlineStr">
        <is>
          <t>Ops</t>
        </is>
      </c>
      <c r="E411" s="5" t="n">
        <v>46268</v>
      </c>
      <c r="F411" s="4" t="inlineStr">
        <is>
          <t>Completed</t>
        </is>
      </c>
      <c r="G411" s="4">
        <f>IFERROR(INDEX('01_Customer_Tracker'!$B:$B,MATCH(B411,'01_Customer_Tracker'!$A:$A,0)),"")</f>
        <v/>
      </c>
    </row>
    <row r="412">
      <c r="A412" s="4" t="inlineStr">
        <is>
          <t>T0411</t>
        </is>
      </c>
      <c r="B412" s="4" t="inlineStr">
        <is>
          <t>C046</t>
        </is>
      </c>
      <c r="C412" s="4" t="inlineStr">
        <is>
          <t>Attendance &amp; Leave Config</t>
        </is>
      </c>
      <c r="D412" s="4" t="inlineStr">
        <is>
          <t>Payroll Ops</t>
        </is>
      </c>
      <c r="E412" s="5" t="n">
        <v>46272</v>
      </c>
      <c r="F412" s="4" t="inlineStr">
        <is>
          <t>Pending</t>
        </is>
      </c>
      <c r="G412" s="4">
        <f>IFERROR(INDEX('01_Customer_Tracker'!$B:$B,MATCH(B412,'01_Customer_Tracker'!$A:$A,0)),"")</f>
        <v/>
      </c>
    </row>
    <row r="413">
      <c r="A413" s="4" t="inlineStr">
        <is>
          <t>T0412</t>
        </is>
      </c>
      <c r="B413" s="4" t="inlineStr">
        <is>
          <t>C046</t>
        </is>
      </c>
      <c r="C413" s="4" t="inlineStr">
        <is>
          <t>Salary Structure Mapping</t>
        </is>
      </c>
      <c r="D413" s="4" t="inlineStr">
        <is>
          <t>Payroll Ops</t>
        </is>
      </c>
      <c r="E413" s="5" t="n">
        <v>46275</v>
      </c>
      <c r="F413" s="4" t="inlineStr">
        <is>
          <t>Pending</t>
        </is>
      </c>
      <c r="G413" s="4">
        <f>IFERROR(INDEX('01_Customer_Tracker'!$B:$B,MATCH(B413,'01_Customer_Tracker'!$A:$A,0)),"")</f>
        <v/>
      </c>
    </row>
    <row r="414">
      <c r="A414" s="4" t="inlineStr">
        <is>
          <t>T0413</t>
        </is>
      </c>
      <c r="B414" s="4" t="inlineStr">
        <is>
          <t>C046</t>
        </is>
      </c>
      <c r="C414" s="4" t="inlineStr">
        <is>
          <t>Pre-run Reconciliation</t>
        </is>
      </c>
      <c r="D414" s="4" t="inlineStr">
        <is>
          <t>Payroll Ops</t>
        </is>
      </c>
      <c r="E414" s="5" t="n">
        <v>46280</v>
      </c>
      <c r="F414" s="4" t="inlineStr">
        <is>
          <t>Pending</t>
        </is>
      </c>
      <c r="G414" s="4">
        <f>IFERROR(INDEX('01_Customer_Tracker'!$B:$B,MATCH(B414,'01_Customer_Tracker'!$A:$A,0)),"")</f>
        <v/>
      </c>
    </row>
    <row r="415">
      <c r="A415" s="4" t="inlineStr">
        <is>
          <t>T0414</t>
        </is>
      </c>
      <c r="B415" s="4" t="inlineStr">
        <is>
          <t>C046</t>
        </is>
      </c>
      <c r="C415" s="4" t="inlineStr">
        <is>
          <t>Customer Approval Sign-off</t>
        </is>
      </c>
      <c r="D415" s="4" t="inlineStr">
        <is>
          <t>Customer</t>
        </is>
      </c>
      <c r="E415" s="5" t="n">
        <v>46284</v>
      </c>
      <c r="F415" s="4" t="inlineStr">
        <is>
          <t>Pending</t>
        </is>
      </c>
      <c r="G415" s="4">
        <f>IFERROR(INDEX('01_Customer_Tracker'!$B:$B,MATCH(B415,'01_Customer_Tracker'!$A:$A,0)),"")</f>
        <v/>
      </c>
    </row>
    <row r="416">
      <c r="A416" s="4" t="inlineStr">
        <is>
          <t>T0415</t>
        </is>
      </c>
      <c r="B416" s="4" t="inlineStr">
        <is>
          <t>C047</t>
        </is>
      </c>
      <c r="C416" s="4" t="inlineStr">
        <is>
          <t>Company Info &amp; KYC</t>
        </is>
      </c>
      <c r="D416" s="4" t="inlineStr">
        <is>
          <t>Customer</t>
        </is>
      </c>
      <c r="E416" s="5" t="n">
        <v>46266</v>
      </c>
      <c r="F416" s="4" t="inlineStr">
        <is>
          <t>Completed</t>
        </is>
      </c>
      <c r="G416" s="4">
        <f>IFERROR(INDEX('01_Customer_Tracker'!$B:$B,MATCH(B416,'01_Customer_Tracker'!$A:$A,0)),"")</f>
        <v/>
      </c>
    </row>
    <row r="417">
      <c r="A417" s="4" t="inlineStr">
        <is>
          <t>T0416</t>
        </is>
      </c>
      <c r="B417" s="4" t="inlineStr">
        <is>
          <t>C047</t>
        </is>
      </c>
      <c r="C417" s="4" t="inlineStr">
        <is>
          <t>Document Collection</t>
        </is>
      </c>
      <c r="D417" s="4" t="inlineStr">
        <is>
          <t>Customer</t>
        </is>
      </c>
      <c r="E417" s="5" t="n">
        <v>46269</v>
      </c>
      <c r="F417" s="4" t="inlineStr">
        <is>
          <t>Completed</t>
        </is>
      </c>
      <c r="G417" s="4">
        <f>IFERROR(INDEX('01_Customer_Tracker'!$B:$B,MATCH(B417,'01_Customer_Tracker'!$A:$A,0)),"")</f>
        <v/>
      </c>
    </row>
    <row r="418">
      <c r="A418" s="4" t="inlineStr">
        <is>
          <t>T0417</t>
        </is>
      </c>
      <c r="B418" s="4" t="inlineStr">
        <is>
          <t>C047</t>
        </is>
      </c>
      <c r="C418" s="4" t="inlineStr">
        <is>
          <t>Employee Data Upload</t>
        </is>
      </c>
      <c r="D418" s="4" t="inlineStr">
        <is>
          <t>Customer</t>
        </is>
      </c>
      <c r="E418" s="5" t="n">
        <v>46273</v>
      </c>
      <c r="F418" s="4" t="inlineStr">
        <is>
          <t>Pending</t>
        </is>
      </c>
      <c r="G418" s="4">
        <f>IFERROR(INDEX('01_Customer_Tracker'!$B:$B,MATCH(B418,'01_Customer_Tracker'!$A:$A,0)),"")</f>
        <v/>
      </c>
    </row>
    <row r="419">
      <c r="A419" s="4" t="inlineStr">
        <is>
          <t>T0418</t>
        </is>
      </c>
      <c r="B419" s="4" t="inlineStr">
        <is>
          <t>C047</t>
        </is>
      </c>
      <c r="C419" s="4" t="inlineStr">
        <is>
          <t>Bank Details Verification</t>
        </is>
      </c>
      <c r="D419" s="4" t="inlineStr">
        <is>
          <t>Ops</t>
        </is>
      </c>
      <c r="E419" s="5" t="n">
        <v>46277</v>
      </c>
      <c r="F419" s="4" t="inlineStr">
        <is>
          <t>Pending</t>
        </is>
      </c>
      <c r="G419" s="4">
        <f>IFERROR(INDEX('01_Customer_Tracker'!$B:$B,MATCH(B419,'01_Customer_Tracker'!$A:$A,0)),"")</f>
        <v/>
      </c>
    </row>
    <row r="420">
      <c r="A420" s="4" t="inlineStr">
        <is>
          <t>T0419</t>
        </is>
      </c>
      <c r="B420" s="4" t="inlineStr">
        <is>
          <t>C047</t>
        </is>
      </c>
      <c r="C420" s="4" t="inlineStr">
        <is>
          <t>PAN / UAN Verification</t>
        </is>
      </c>
      <c r="D420" s="4" t="inlineStr">
        <is>
          <t>Ops</t>
        </is>
      </c>
      <c r="E420" s="5" t="n">
        <v>46279</v>
      </c>
      <c r="F420" s="4" t="inlineStr">
        <is>
          <t>Pending</t>
        </is>
      </c>
      <c r="G420" s="4">
        <f>IFERROR(INDEX('01_Customer_Tracker'!$B:$B,MATCH(B420,'01_Customer_Tracker'!$A:$A,0)),"")</f>
        <v/>
      </c>
    </row>
    <row r="421">
      <c r="A421" s="4" t="inlineStr">
        <is>
          <t>T0420</t>
        </is>
      </c>
      <c r="B421" s="4" t="inlineStr">
        <is>
          <t>C047</t>
        </is>
      </c>
      <c r="C421" s="4" t="inlineStr">
        <is>
          <t>Attendance &amp; Leave Config</t>
        </is>
      </c>
      <c r="D421" s="4" t="inlineStr">
        <is>
          <t>Payroll Ops</t>
        </is>
      </c>
      <c r="E421" s="5" t="n">
        <v>46283</v>
      </c>
      <c r="F421" s="4" t="inlineStr">
        <is>
          <t>Pending</t>
        </is>
      </c>
      <c r="G421" s="4">
        <f>IFERROR(INDEX('01_Customer_Tracker'!$B:$B,MATCH(B421,'01_Customer_Tracker'!$A:$A,0)),"")</f>
        <v/>
      </c>
    </row>
    <row r="422">
      <c r="A422" s="4" t="inlineStr">
        <is>
          <t>T0421</t>
        </is>
      </c>
      <c r="B422" s="4" t="inlineStr">
        <is>
          <t>C047</t>
        </is>
      </c>
      <c r="C422" s="4" t="inlineStr">
        <is>
          <t>Salary Structure Mapping</t>
        </is>
      </c>
      <c r="D422" s="4" t="inlineStr">
        <is>
          <t>Payroll Ops</t>
        </is>
      </c>
      <c r="E422" s="5" t="n">
        <v>46286</v>
      </c>
      <c r="F422" s="4" t="inlineStr">
        <is>
          <t>Pending</t>
        </is>
      </c>
      <c r="G422" s="4">
        <f>IFERROR(INDEX('01_Customer_Tracker'!$B:$B,MATCH(B422,'01_Customer_Tracker'!$A:$A,0)),"")</f>
        <v/>
      </c>
    </row>
    <row r="423">
      <c r="A423" s="4" t="inlineStr">
        <is>
          <t>T0422</t>
        </is>
      </c>
      <c r="B423" s="4" t="inlineStr">
        <is>
          <t>C047</t>
        </is>
      </c>
      <c r="C423" s="4" t="inlineStr">
        <is>
          <t>Pre-run Reconciliation</t>
        </is>
      </c>
      <c r="D423" s="4" t="inlineStr">
        <is>
          <t>Payroll Ops</t>
        </is>
      </c>
      <c r="E423" s="5" t="n">
        <v>46291</v>
      </c>
      <c r="F423" s="4" t="inlineStr">
        <is>
          <t>Pending</t>
        </is>
      </c>
      <c r="G423" s="4">
        <f>IFERROR(INDEX('01_Customer_Tracker'!$B:$B,MATCH(B423,'01_Customer_Tracker'!$A:$A,0)),"")</f>
        <v/>
      </c>
    </row>
    <row r="424">
      <c r="A424" s="4" t="inlineStr">
        <is>
          <t>T0423</t>
        </is>
      </c>
      <c r="B424" s="4" t="inlineStr">
        <is>
          <t>C047</t>
        </is>
      </c>
      <c r="C424" s="4" t="inlineStr">
        <is>
          <t>Customer Approval Sign-off</t>
        </is>
      </c>
      <c r="D424" s="4" t="inlineStr">
        <is>
          <t>Customer</t>
        </is>
      </c>
      <c r="E424" s="5" t="n">
        <v>46295</v>
      </c>
      <c r="F424" s="4" t="inlineStr">
        <is>
          <t>Pending</t>
        </is>
      </c>
      <c r="G424" s="4">
        <f>IFERROR(INDEX('01_Customer_Tracker'!$B:$B,MATCH(B424,'01_Customer_Tracker'!$A:$A,0)),"")</f>
        <v/>
      </c>
    </row>
    <row r="425">
      <c r="A425" s="4" t="inlineStr">
        <is>
          <t>T0424</t>
        </is>
      </c>
      <c r="B425" s="4" t="inlineStr">
        <is>
          <t>C048</t>
        </is>
      </c>
      <c r="C425" s="4" t="inlineStr">
        <is>
          <t>Company Info &amp; KYC</t>
        </is>
      </c>
      <c r="D425" s="4" t="inlineStr">
        <is>
          <t>Customer</t>
        </is>
      </c>
      <c r="E425" s="5" t="n">
        <v>46265</v>
      </c>
      <c r="F425" s="4" t="inlineStr">
        <is>
          <t>Completed</t>
        </is>
      </c>
      <c r="G425" s="4">
        <f>IFERROR(INDEX('01_Customer_Tracker'!$B:$B,MATCH(B425,'01_Customer_Tracker'!$A:$A,0)),"")</f>
        <v/>
      </c>
    </row>
    <row r="426">
      <c r="A426" s="4" t="inlineStr">
        <is>
          <t>T0425</t>
        </is>
      </c>
      <c r="B426" s="4" t="inlineStr">
        <is>
          <t>C048</t>
        </is>
      </c>
      <c r="C426" s="4" t="inlineStr">
        <is>
          <t>Document Collection</t>
        </is>
      </c>
      <c r="D426" s="4" t="inlineStr">
        <is>
          <t>Customer</t>
        </is>
      </c>
      <c r="E426" s="5" t="n">
        <v>46268</v>
      </c>
      <c r="F426" s="4" t="inlineStr">
        <is>
          <t>Completed</t>
        </is>
      </c>
      <c r="G426" s="4">
        <f>IFERROR(INDEX('01_Customer_Tracker'!$B:$B,MATCH(B426,'01_Customer_Tracker'!$A:$A,0)),"")</f>
        <v/>
      </c>
    </row>
    <row r="427">
      <c r="A427" s="4" t="inlineStr">
        <is>
          <t>T0426</t>
        </is>
      </c>
      <c r="B427" s="4" t="inlineStr">
        <is>
          <t>C048</t>
        </is>
      </c>
      <c r="C427" s="4" t="inlineStr">
        <is>
          <t>Employee Data Upload</t>
        </is>
      </c>
      <c r="D427" s="4" t="inlineStr">
        <is>
          <t>Customer</t>
        </is>
      </c>
      <c r="E427" s="5" t="n">
        <v>46272</v>
      </c>
      <c r="F427" s="4" t="inlineStr">
        <is>
          <t>Completed</t>
        </is>
      </c>
      <c r="G427" s="4">
        <f>IFERROR(INDEX('01_Customer_Tracker'!$B:$B,MATCH(B427,'01_Customer_Tracker'!$A:$A,0)),"")</f>
        <v/>
      </c>
    </row>
    <row r="428">
      <c r="A428" s="4" t="inlineStr">
        <is>
          <t>T0427</t>
        </is>
      </c>
      <c r="B428" s="4" t="inlineStr">
        <is>
          <t>C048</t>
        </is>
      </c>
      <c r="C428" s="4" t="inlineStr">
        <is>
          <t>Bank Details Verification</t>
        </is>
      </c>
      <c r="D428" s="4" t="inlineStr">
        <is>
          <t>Ops</t>
        </is>
      </c>
      <c r="E428" s="5" t="n">
        <v>46276</v>
      </c>
      <c r="F428" s="4" t="inlineStr">
        <is>
          <t>Completed</t>
        </is>
      </c>
      <c r="G428" s="4">
        <f>IFERROR(INDEX('01_Customer_Tracker'!$B:$B,MATCH(B428,'01_Customer_Tracker'!$A:$A,0)),"")</f>
        <v/>
      </c>
    </row>
    <row r="429">
      <c r="A429" s="4" t="inlineStr">
        <is>
          <t>T0428</t>
        </is>
      </c>
      <c r="B429" s="4" t="inlineStr">
        <is>
          <t>C048</t>
        </is>
      </c>
      <c r="C429" s="4" t="inlineStr">
        <is>
          <t>PAN / UAN Verification</t>
        </is>
      </c>
      <c r="D429" s="4" t="inlineStr">
        <is>
          <t>Ops</t>
        </is>
      </c>
      <c r="E429" s="5" t="n">
        <v>46278</v>
      </c>
      <c r="F429" s="4" t="inlineStr">
        <is>
          <t>Completed</t>
        </is>
      </c>
      <c r="G429" s="4">
        <f>IFERROR(INDEX('01_Customer_Tracker'!$B:$B,MATCH(B429,'01_Customer_Tracker'!$A:$A,0)),"")</f>
        <v/>
      </c>
    </row>
    <row r="430">
      <c r="A430" s="4" t="inlineStr">
        <is>
          <t>T0429</t>
        </is>
      </c>
      <c r="B430" s="4" t="inlineStr">
        <is>
          <t>C048</t>
        </is>
      </c>
      <c r="C430" s="4" t="inlineStr">
        <is>
          <t>Attendance &amp; Leave Config</t>
        </is>
      </c>
      <c r="D430" s="4" t="inlineStr">
        <is>
          <t>Payroll Ops</t>
        </is>
      </c>
      <c r="E430" s="5" t="n">
        <v>46282</v>
      </c>
      <c r="F430" s="4" t="inlineStr">
        <is>
          <t>Completed</t>
        </is>
      </c>
      <c r="G430" s="4">
        <f>IFERROR(INDEX('01_Customer_Tracker'!$B:$B,MATCH(B430,'01_Customer_Tracker'!$A:$A,0)),"")</f>
        <v/>
      </c>
    </row>
    <row r="431">
      <c r="A431" s="4" t="inlineStr">
        <is>
          <t>T0430</t>
        </is>
      </c>
      <c r="B431" s="4" t="inlineStr">
        <is>
          <t>C048</t>
        </is>
      </c>
      <c r="C431" s="4" t="inlineStr">
        <is>
          <t>Salary Structure Mapping</t>
        </is>
      </c>
      <c r="D431" s="4" t="inlineStr">
        <is>
          <t>Payroll Ops</t>
        </is>
      </c>
      <c r="E431" s="5" t="n">
        <v>46285</v>
      </c>
      <c r="F431" s="4" t="inlineStr">
        <is>
          <t>Completed</t>
        </is>
      </c>
      <c r="G431" s="4">
        <f>IFERROR(INDEX('01_Customer_Tracker'!$B:$B,MATCH(B431,'01_Customer_Tracker'!$A:$A,0)),"")</f>
        <v/>
      </c>
    </row>
    <row r="432">
      <c r="A432" s="4" t="inlineStr">
        <is>
          <t>T0431</t>
        </is>
      </c>
      <c r="B432" s="4" t="inlineStr">
        <is>
          <t>C048</t>
        </is>
      </c>
      <c r="C432" s="4" t="inlineStr">
        <is>
          <t>Pre-run Reconciliation</t>
        </is>
      </c>
      <c r="D432" s="4" t="inlineStr">
        <is>
          <t>Payroll Ops</t>
        </is>
      </c>
      <c r="E432" s="5" t="n">
        <v>46290</v>
      </c>
      <c r="F432" s="4" t="inlineStr">
        <is>
          <t>Completed</t>
        </is>
      </c>
      <c r="G432" s="4">
        <f>IFERROR(INDEX('01_Customer_Tracker'!$B:$B,MATCH(B432,'01_Customer_Tracker'!$A:$A,0)),"")</f>
        <v/>
      </c>
    </row>
    <row r="433">
      <c r="A433" s="4" t="inlineStr">
        <is>
          <t>T0432</t>
        </is>
      </c>
      <c r="B433" s="4" t="inlineStr">
        <is>
          <t>C048</t>
        </is>
      </c>
      <c r="C433" s="4" t="inlineStr">
        <is>
          <t>Customer Approval Sign-off</t>
        </is>
      </c>
      <c r="D433" s="4" t="inlineStr">
        <is>
          <t>Customer</t>
        </is>
      </c>
      <c r="E433" s="5" t="n">
        <v>46294</v>
      </c>
      <c r="F433" s="4" t="inlineStr">
        <is>
          <t>Completed</t>
        </is>
      </c>
      <c r="G433" s="4">
        <f>IFERROR(INDEX('01_Customer_Tracker'!$B:$B,MATCH(B433,'01_Customer_Tracker'!$A:$A,0)),"")</f>
        <v/>
      </c>
    </row>
    <row r="434">
      <c r="A434" s="4" t="inlineStr">
        <is>
          <t>T0433</t>
        </is>
      </c>
      <c r="B434" s="4" t="inlineStr">
        <is>
          <t>C049</t>
        </is>
      </c>
      <c r="C434" s="4" t="inlineStr">
        <is>
          <t>Company Info &amp; KYC</t>
        </is>
      </c>
      <c r="D434" s="4" t="inlineStr">
        <is>
          <t>Customer</t>
        </is>
      </c>
      <c r="E434" s="5" t="n">
        <v>46234</v>
      </c>
      <c r="F434" s="4" t="inlineStr">
        <is>
          <t>Blocked</t>
        </is>
      </c>
      <c r="G434" s="4">
        <f>IFERROR(INDEX('01_Customer_Tracker'!$B:$B,MATCH(B434,'01_Customer_Tracker'!$A:$A,0)),"")</f>
        <v/>
      </c>
    </row>
    <row r="435">
      <c r="A435" s="4" t="inlineStr">
        <is>
          <t>T0434</t>
        </is>
      </c>
      <c r="B435" s="4" t="inlineStr">
        <is>
          <t>C049</t>
        </is>
      </c>
      <c r="C435" s="4" t="inlineStr">
        <is>
          <t>Document Collection</t>
        </is>
      </c>
      <c r="D435" s="4" t="inlineStr">
        <is>
          <t>Customer</t>
        </is>
      </c>
      <c r="E435" s="5" t="n">
        <v>46237</v>
      </c>
      <c r="F435" s="4" t="inlineStr">
        <is>
          <t>Pending</t>
        </is>
      </c>
      <c r="G435" s="4">
        <f>IFERROR(INDEX('01_Customer_Tracker'!$B:$B,MATCH(B435,'01_Customer_Tracker'!$A:$A,0)),"")</f>
        <v/>
      </c>
    </row>
    <row r="436">
      <c r="A436" s="4" t="inlineStr">
        <is>
          <t>T0435</t>
        </is>
      </c>
      <c r="B436" s="4" t="inlineStr">
        <is>
          <t>C049</t>
        </is>
      </c>
      <c r="C436" s="4" t="inlineStr">
        <is>
          <t>Employee Data Upload</t>
        </is>
      </c>
      <c r="D436" s="4" t="inlineStr">
        <is>
          <t>Customer</t>
        </is>
      </c>
      <c r="E436" s="5" t="n">
        <v>46241</v>
      </c>
      <c r="F436" s="4" t="inlineStr">
        <is>
          <t>Pending</t>
        </is>
      </c>
      <c r="G436" s="4">
        <f>IFERROR(INDEX('01_Customer_Tracker'!$B:$B,MATCH(B436,'01_Customer_Tracker'!$A:$A,0)),"")</f>
        <v/>
      </c>
    </row>
    <row r="437">
      <c r="A437" s="4" t="inlineStr">
        <is>
          <t>T0436</t>
        </is>
      </c>
      <c r="B437" s="4" t="inlineStr">
        <is>
          <t>C049</t>
        </is>
      </c>
      <c r="C437" s="4" t="inlineStr">
        <is>
          <t>Bank Details Verification</t>
        </is>
      </c>
      <c r="D437" s="4" t="inlineStr">
        <is>
          <t>Ops</t>
        </is>
      </c>
      <c r="E437" s="5" t="n">
        <v>46245</v>
      </c>
      <c r="F437" s="4" t="inlineStr">
        <is>
          <t>Pending</t>
        </is>
      </c>
      <c r="G437" s="4">
        <f>IFERROR(INDEX('01_Customer_Tracker'!$B:$B,MATCH(B437,'01_Customer_Tracker'!$A:$A,0)),"")</f>
        <v/>
      </c>
    </row>
    <row r="438">
      <c r="A438" s="4" t="inlineStr">
        <is>
          <t>T0437</t>
        </is>
      </c>
      <c r="B438" s="4" t="inlineStr">
        <is>
          <t>C049</t>
        </is>
      </c>
      <c r="C438" s="4" t="inlineStr">
        <is>
          <t>PAN / UAN Verification</t>
        </is>
      </c>
      <c r="D438" s="4" t="inlineStr">
        <is>
          <t>Ops</t>
        </is>
      </c>
      <c r="E438" s="5" t="n">
        <v>46247</v>
      </c>
      <c r="F438" s="4" t="inlineStr">
        <is>
          <t>Pending</t>
        </is>
      </c>
      <c r="G438" s="4">
        <f>IFERROR(INDEX('01_Customer_Tracker'!$B:$B,MATCH(B438,'01_Customer_Tracker'!$A:$A,0)),"")</f>
        <v/>
      </c>
    </row>
    <row r="439">
      <c r="A439" s="4" t="inlineStr">
        <is>
          <t>T0438</t>
        </is>
      </c>
      <c r="B439" s="4" t="inlineStr">
        <is>
          <t>C049</t>
        </is>
      </c>
      <c r="C439" s="4" t="inlineStr">
        <is>
          <t>Attendance &amp; Leave Config</t>
        </is>
      </c>
      <c r="D439" s="4" t="inlineStr">
        <is>
          <t>Payroll Ops</t>
        </is>
      </c>
      <c r="E439" s="5" t="n">
        <v>46251</v>
      </c>
      <c r="F439" s="4" t="inlineStr">
        <is>
          <t>Pending</t>
        </is>
      </c>
      <c r="G439" s="4">
        <f>IFERROR(INDEX('01_Customer_Tracker'!$B:$B,MATCH(B439,'01_Customer_Tracker'!$A:$A,0)),"")</f>
        <v/>
      </c>
    </row>
    <row r="440">
      <c r="A440" s="4" t="inlineStr">
        <is>
          <t>T0439</t>
        </is>
      </c>
      <c r="B440" s="4" t="inlineStr">
        <is>
          <t>C049</t>
        </is>
      </c>
      <c r="C440" s="4" t="inlineStr">
        <is>
          <t>Salary Structure Mapping</t>
        </is>
      </c>
      <c r="D440" s="4" t="inlineStr">
        <is>
          <t>Payroll Ops</t>
        </is>
      </c>
      <c r="E440" s="5" t="n">
        <v>46254</v>
      </c>
      <c r="F440" s="4" t="inlineStr">
        <is>
          <t>Pending</t>
        </is>
      </c>
      <c r="G440" s="4">
        <f>IFERROR(INDEX('01_Customer_Tracker'!$B:$B,MATCH(B440,'01_Customer_Tracker'!$A:$A,0)),"")</f>
        <v/>
      </c>
    </row>
    <row r="441">
      <c r="A441" s="4" t="inlineStr">
        <is>
          <t>T0440</t>
        </is>
      </c>
      <c r="B441" s="4" t="inlineStr">
        <is>
          <t>C049</t>
        </is>
      </c>
      <c r="C441" s="4" t="inlineStr">
        <is>
          <t>Pre-run Reconciliation</t>
        </is>
      </c>
      <c r="D441" s="4" t="inlineStr">
        <is>
          <t>Payroll Ops</t>
        </is>
      </c>
      <c r="E441" s="5" t="n">
        <v>46259</v>
      </c>
      <c r="F441" s="4" t="inlineStr">
        <is>
          <t>Pending</t>
        </is>
      </c>
      <c r="G441" s="4">
        <f>IFERROR(INDEX('01_Customer_Tracker'!$B:$B,MATCH(B441,'01_Customer_Tracker'!$A:$A,0)),"")</f>
        <v/>
      </c>
    </row>
    <row r="442">
      <c r="A442" s="4" t="inlineStr">
        <is>
          <t>T0441</t>
        </is>
      </c>
      <c r="B442" s="4" t="inlineStr">
        <is>
          <t>C049</t>
        </is>
      </c>
      <c r="C442" s="4" t="inlineStr">
        <is>
          <t>Customer Approval Sign-off</t>
        </is>
      </c>
      <c r="D442" s="4" t="inlineStr">
        <is>
          <t>Customer</t>
        </is>
      </c>
      <c r="E442" s="5" t="n">
        <v>46263</v>
      </c>
      <c r="F442" s="4" t="inlineStr">
        <is>
          <t>Pending</t>
        </is>
      </c>
      <c r="G442" s="4">
        <f>IFERROR(INDEX('01_Customer_Tracker'!$B:$B,MATCH(B442,'01_Customer_Tracker'!$A:$A,0)),"")</f>
        <v/>
      </c>
    </row>
    <row r="443">
      <c r="A443" s="4" t="inlineStr">
        <is>
          <t>T0442</t>
        </is>
      </c>
      <c r="B443" s="4" t="inlineStr">
        <is>
          <t>C050</t>
        </is>
      </c>
      <c r="C443" s="4" t="inlineStr">
        <is>
          <t>Company Info &amp; KYC</t>
        </is>
      </c>
      <c r="D443" s="4" t="inlineStr">
        <is>
          <t>Customer</t>
        </is>
      </c>
      <c r="E443" s="5" t="n">
        <v>46245</v>
      </c>
      <c r="F443" s="4" t="inlineStr">
        <is>
          <t>Completed</t>
        </is>
      </c>
      <c r="G443" s="4">
        <f>IFERROR(INDEX('01_Customer_Tracker'!$B:$B,MATCH(B443,'01_Customer_Tracker'!$A:$A,0)),"")</f>
        <v/>
      </c>
    </row>
    <row r="444">
      <c r="A444" s="4" t="inlineStr">
        <is>
          <t>T0443</t>
        </is>
      </c>
      <c r="B444" s="4" t="inlineStr">
        <is>
          <t>C050</t>
        </is>
      </c>
      <c r="C444" s="4" t="inlineStr">
        <is>
          <t>Document Collection</t>
        </is>
      </c>
      <c r="D444" s="4" t="inlineStr">
        <is>
          <t>Customer</t>
        </is>
      </c>
      <c r="E444" s="5" t="n">
        <v>46248</v>
      </c>
      <c r="F444" s="4" t="inlineStr">
        <is>
          <t>Completed</t>
        </is>
      </c>
      <c r="G444" s="4">
        <f>IFERROR(INDEX('01_Customer_Tracker'!$B:$B,MATCH(B444,'01_Customer_Tracker'!$A:$A,0)),"")</f>
        <v/>
      </c>
    </row>
    <row r="445">
      <c r="A445" s="4" t="inlineStr">
        <is>
          <t>T0444</t>
        </is>
      </c>
      <c r="B445" s="4" t="inlineStr">
        <is>
          <t>C050</t>
        </is>
      </c>
      <c r="C445" s="4" t="inlineStr">
        <is>
          <t>Employee Data Upload</t>
        </is>
      </c>
      <c r="D445" s="4" t="inlineStr">
        <is>
          <t>Customer</t>
        </is>
      </c>
      <c r="E445" s="5" t="n">
        <v>46252</v>
      </c>
      <c r="F445" s="4" t="inlineStr">
        <is>
          <t>Completed</t>
        </is>
      </c>
      <c r="G445" s="4">
        <f>IFERROR(INDEX('01_Customer_Tracker'!$B:$B,MATCH(B445,'01_Customer_Tracker'!$A:$A,0)),"")</f>
        <v/>
      </c>
    </row>
    <row r="446">
      <c r="A446" s="4" t="inlineStr">
        <is>
          <t>T0445</t>
        </is>
      </c>
      <c r="B446" s="4" t="inlineStr">
        <is>
          <t>C050</t>
        </is>
      </c>
      <c r="C446" s="4" t="inlineStr">
        <is>
          <t>Bank Details Verification</t>
        </is>
      </c>
      <c r="D446" s="4" t="inlineStr">
        <is>
          <t>Ops</t>
        </is>
      </c>
      <c r="E446" s="5" t="n">
        <v>46256</v>
      </c>
      <c r="F446" s="4" t="inlineStr">
        <is>
          <t>Completed</t>
        </is>
      </c>
      <c r="G446" s="4">
        <f>IFERROR(INDEX('01_Customer_Tracker'!$B:$B,MATCH(B446,'01_Customer_Tracker'!$A:$A,0)),"")</f>
        <v/>
      </c>
    </row>
    <row r="447">
      <c r="A447" s="4" t="inlineStr">
        <is>
          <t>T0446</t>
        </is>
      </c>
      <c r="B447" s="4" t="inlineStr">
        <is>
          <t>C050</t>
        </is>
      </c>
      <c r="C447" s="4" t="inlineStr">
        <is>
          <t>PAN / UAN Verification</t>
        </is>
      </c>
      <c r="D447" s="4" t="inlineStr">
        <is>
          <t>Ops</t>
        </is>
      </c>
      <c r="E447" s="5" t="n">
        <v>46258</v>
      </c>
      <c r="F447" s="4" t="inlineStr">
        <is>
          <t>Completed</t>
        </is>
      </c>
      <c r="G447" s="4">
        <f>IFERROR(INDEX('01_Customer_Tracker'!$B:$B,MATCH(B447,'01_Customer_Tracker'!$A:$A,0)),"")</f>
        <v/>
      </c>
    </row>
    <row r="448">
      <c r="A448" s="4" t="inlineStr">
        <is>
          <t>T0447</t>
        </is>
      </c>
      <c r="B448" s="4" t="inlineStr">
        <is>
          <t>C050</t>
        </is>
      </c>
      <c r="C448" s="4" t="inlineStr">
        <is>
          <t>Attendance &amp; Leave Config</t>
        </is>
      </c>
      <c r="D448" s="4" t="inlineStr">
        <is>
          <t>Payroll Ops</t>
        </is>
      </c>
      <c r="E448" s="5" t="n">
        <v>46262</v>
      </c>
      <c r="F448" s="4" t="inlineStr">
        <is>
          <t>Completed</t>
        </is>
      </c>
      <c r="G448" s="4">
        <f>IFERROR(INDEX('01_Customer_Tracker'!$B:$B,MATCH(B448,'01_Customer_Tracker'!$A:$A,0)),"")</f>
        <v/>
      </c>
    </row>
    <row r="449">
      <c r="A449" s="4" t="inlineStr">
        <is>
          <t>T0448</t>
        </is>
      </c>
      <c r="B449" s="4" t="inlineStr">
        <is>
          <t>C050</t>
        </is>
      </c>
      <c r="C449" s="4" t="inlineStr">
        <is>
          <t>Salary Structure Mapping</t>
        </is>
      </c>
      <c r="D449" s="4" t="inlineStr">
        <is>
          <t>Payroll Ops</t>
        </is>
      </c>
      <c r="E449" s="5" t="n">
        <v>46265</v>
      </c>
      <c r="F449" s="4" t="inlineStr">
        <is>
          <t>Completed</t>
        </is>
      </c>
      <c r="G449" s="4">
        <f>IFERROR(INDEX('01_Customer_Tracker'!$B:$B,MATCH(B449,'01_Customer_Tracker'!$A:$A,0)),"")</f>
        <v/>
      </c>
    </row>
    <row r="450">
      <c r="A450" s="4" t="inlineStr">
        <is>
          <t>T0449</t>
        </is>
      </c>
      <c r="B450" s="4" t="inlineStr">
        <is>
          <t>C050</t>
        </is>
      </c>
      <c r="C450" s="4" t="inlineStr">
        <is>
          <t>Pre-run Reconciliation</t>
        </is>
      </c>
      <c r="D450" s="4" t="inlineStr">
        <is>
          <t>Payroll Ops</t>
        </is>
      </c>
      <c r="E450" s="5" t="n">
        <v>46270</v>
      </c>
      <c r="F450" s="4" t="inlineStr">
        <is>
          <t>In Progress</t>
        </is>
      </c>
      <c r="G450" s="4">
        <f>IFERROR(INDEX('01_Customer_Tracker'!$B:$B,MATCH(B450,'01_Customer_Tracker'!$A:$A,0)),"")</f>
        <v/>
      </c>
    </row>
    <row r="451">
      <c r="A451" s="4" t="inlineStr">
        <is>
          <t>T0450</t>
        </is>
      </c>
      <c r="B451" s="4" t="inlineStr">
        <is>
          <t>C050</t>
        </is>
      </c>
      <c r="C451" s="4" t="inlineStr">
        <is>
          <t>Customer Approval Sign-off</t>
        </is>
      </c>
      <c r="D451" s="4" t="inlineStr">
        <is>
          <t>Customer</t>
        </is>
      </c>
      <c r="E451" s="5" t="n">
        <v>46274</v>
      </c>
      <c r="F451" s="4" t="inlineStr">
        <is>
          <t>Pending</t>
        </is>
      </c>
      <c r="G451" s="4">
        <f>IFERROR(INDEX('01_Customer_Tracker'!$B:$B,MATCH(B451,'01_Customer_Tracker'!$A:$A,0)),"")</f>
        <v/>
      </c>
    </row>
  </sheetData>
  <conditionalFormatting sqref="F2:F451">
    <cfRule type="cellIs" priority="1" operator="equal" dxfId="0">
      <formula>"Blocked"</formula>
    </cfRule>
    <cfRule type="cellIs" priority="2" operator="equal" dxfId="1">
      <formula>"Pending"</formula>
    </cfRule>
    <cfRule type="cellIs" priority="3" operator="equal" dxfId="2">
      <formula>"Completed"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46" customWidth="1" min="5" max="5"/>
    <col width="22" customWidth="1" min="6" max="6"/>
  </cols>
  <sheetData>
    <row r="1">
      <c r="A1" s="1" t="inlineStr">
        <is>
          <t>customer_id</t>
        </is>
      </c>
      <c r="B1" s="1" t="inlineStr">
        <is>
          <t>employee_id</t>
        </is>
      </c>
      <c r="C1" s="1" t="inlineStr">
        <is>
          <t>exception_type</t>
        </is>
      </c>
      <c r="D1" s="1" t="inlineStr">
        <is>
          <t>severity</t>
        </is>
      </c>
      <c r="E1" s="1" t="inlineStr">
        <is>
          <t>recommended_action</t>
        </is>
      </c>
      <c r="F1" s="1" t="inlineStr">
        <is>
          <t>company_name</t>
        </is>
      </c>
    </row>
    <row r="2">
      <c r="A2" s="4" t="inlineStr">
        <is>
          <t>C038</t>
        </is>
      </c>
      <c r="B2" s="4" t="inlineStr">
        <is>
          <t>E006</t>
        </is>
      </c>
      <c r="C2" s="4" t="inlineStr">
        <is>
          <t>Missing UAN</t>
        </is>
      </c>
      <c r="D2" s="4" t="inlineStr">
        <is>
          <t>High</t>
        </is>
      </c>
      <c r="E2" s="4" t="inlineStr">
        <is>
          <t>Collect UAN or trigger new UAN generation via EPFO portal.</t>
        </is>
      </c>
      <c r="F2" s="4">
        <f>IFERROR(INDEX('01_Customer_Tracker'!$B:$B,MATCH(A2,'01_Customer_Tracker'!$A:$A,0)),"")</f>
        <v/>
      </c>
    </row>
    <row r="3">
      <c r="A3" s="4" t="inlineStr">
        <is>
          <t>C005</t>
        </is>
      </c>
      <c r="B3" s="4" t="inlineStr">
        <is>
          <t>E008</t>
        </is>
      </c>
      <c r="C3" s="4" t="inlineStr">
        <is>
          <t>Missing Bank Account</t>
        </is>
      </c>
      <c r="D3" s="4" t="inlineStr">
        <is>
          <t>Critical</t>
        </is>
      </c>
      <c r="E3" s="4" t="inlineStr">
        <is>
          <t>Request updated bank mandate from customer before payroll lock.</t>
        </is>
      </c>
      <c r="F3" s="4">
        <f>IFERROR(INDEX('01_Customer_Tracker'!$B:$B,MATCH(A3,'01_Customer_Tracker'!$A:$A,0)),"")</f>
        <v/>
      </c>
    </row>
    <row r="4">
      <c r="A4" s="4" t="inlineStr">
        <is>
          <t>C048</t>
        </is>
      </c>
      <c r="B4" s="4" t="inlineStr">
        <is>
          <t>E013</t>
        </is>
      </c>
      <c r="C4" s="4" t="inlineStr">
        <is>
          <t>Missing PAN</t>
        </is>
      </c>
      <c r="D4" s="4" t="inlineStr">
        <is>
          <t>High</t>
        </is>
      </c>
      <c r="E4" s="4" t="inlineStr">
        <is>
          <t>Collect PAN copy; required for statutory TDS mapping.</t>
        </is>
      </c>
      <c r="F4" s="4">
        <f>IFERROR(INDEX('01_Customer_Tracker'!$B:$B,MATCH(A4,'01_Customer_Tracker'!$A:$A,0)),"")</f>
        <v/>
      </c>
    </row>
    <row r="5">
      <c r="A5" s="4" t="inlineStr">
        <is>
          <t>C031</t>
        </is>
      </c>
      <c r="B5" s="4" t="inlineStr">
        <is>
          <t>E019</t>
        </is>
      </c>
      <c r="C5" s="4" t="inlineStr">
        <is>
          <t>Missing PAN</t>
        </is>
      </c>
      <c r="D5" s="4" t="inlineStr">
        <is>
          <t>High</t>
        </is>
      </c>
      <c r="E5" s="4" t="inlineStr">
        <is>
          <t>Collect PAN copy; required for statutory TDS mapping.</t>
        </is>
      </c>
      <c r="F5" s="4">
        <f>IFERROR(INDEX('01_Customer_Tracker'!$B:$B,MATCH(A5,'01_Customer_Tracker'!$A:$A,0)),"")</f>
        <v/>
      </c>
    </row>
    <row r="6">
      <c r="A6" s="4" t="inlineStr">
        <is>
          <t>C031</t>
        </is>
      </c>
      <c r="B6" s="4" t="inlineStr">
        <is>
          <t>E054</t>
        </is>
      </c>
      <c r="C6" s="4" t="inlineStr">
        <is>
          <t>Zero Attendance Days</t>
        </is>
      </c>
      <c r="D6" s="4" t="inlineStr">
        <is>
          <t>Medium</t>
        </is>
      </c>
      <c r="E6" s="4" t="inlineStr">
        <is>
          <t>Confirm attendance feed was received for this employee before payroll run.</t>
        </is>
      </c>
      <c r="F6" s="4">
        <f>IFERROR(INDEX('01_Customer_Tracker'!$B:$B,MATCH(A6,'01_Customer_Tracker'!$A:$A,0)),"")</f>
        <v/>
      </c>
    </row>
    <row r="7">
      <c r="A7" s="4" t="inlineStr">
        <is>
          <t>C030</t>
        </is>
      </c>
      <c r="B7" s="4" t="inlineStr">
        <is>
          <t>E060</t>
        </is>
      </c>
      <c r="C7" s="4" t="inlineStr">
        <is>
          <t>Zero Attendance Days</t>
        </is>
      </c>
      <c r="D7" s="4" t="inlineStr">
        <is>
          <t>Medium</t>
        </is>
      </c>
      <c r="E7" s="4" t="inlineStr">
        <is>
          <t>Confirm attendance feed was received for this employee before payroll run.</t>
        </is>
      </c>
      <c r="F7" s="4">
        <f>IFERROR(INDEX('01_Customer_Tracker'!$B:$B,MATCH(A7,'01_Customer_Tracker'!$A:$A,0)),"")</f>
        <v/>
      </c>
    </row>
    <row r="8">
      <c r="A8" s="4" t="inlineStr">
        <is>
          <t>C048</t>
        </is>
      </c>
      <c r="B8" s="4" t="inlineStr">
        <is>
          <t>E069</t>
        </is>
      </c>
      <c r="C8" s="4" t="inlineStr">
        <is>
          <t>Missing Bank Account</t>
        </is>
      </c>
      <c r="D8" s="4" t="inlineStr">
        <is>
          <t>Critical</t>
        </is>
      </c>
      <c r="E8" s="4" t="inlineStr">
        <is>
          <t>Request updated bank mandate from customer before payroll lock.</t>
        </is>
      </c>
      <c r="F8" s="4">
        <f>IFERROR(INDEX('01_Customer_Tracker'!$B:$B,MATCH(A8,'01_Customer_Tracker'!$A:$A,0)),"")</f>
        <v/>
      </c>
    </row>
    <row r="9">
      <c r="A9" s="4" t="inlineStr">
        <is>
          <t>C023</t>
        </is>
      </c>
      <c r="B9" s="4" t="inlineStr">
        <is>
          <t>E071</t>
        </is>
      </c>
      <c r="C9" s="4" t="inlineStr">
        <is>
          <t>Overtime Outlier (&gt;50% of Basic)</t>
        </is>
      </c>
      <c r="D9" s="4" t="inlineStr">
        <is>
          <t>Medium</t>
        </is>
      </c>
      <c r="E9" s="4" t="inlineStr">
        <is>
          <t>Escalate to customer for overtime approval before disbursal.</t>
        </is>
      </c>
      <c r="F9" s="4">
        <f>IFERROR(INDEX('01_Customer_Tracker'!$B:$B,MATCH(A9,'01_Customer_Tracker'!$A:$A,0)),"")</f>
        <v/>
      </c>
    </row>
    <row r="10">
      <c r="A10" s="4" t="inlineStr">
        <is>
          <t>C035</t>
        </is>
      </c>
      <c r="B10" s="4" t="inlineStr">
        <is>
          <t>E083</t>
        </is>
      </c>
      <c r="C10" s="4" t="inlineStr">
        <is>
          <t>Missing UAN</t>
        </is>
      </c>
      <c r="D10" s="4" t="inlineStr">
        <is>
          <t>High</t>
        </is>
      </c>
      <c r="E10" s="4" t="inlineStr">
        <is>
          <t>Collect UAN or trigger new UAN generation via EPFO portal.</t>
        </is>
      </c>
      <c r="F10" s="4">
        <f>IFERROR(INDEX('01_Customer_Tracker'!$B:$B,MATCH(A10,'01_Customer_Tracker'!$A:$A,0)),"")</f>
        <v/>
      </c>
    </row>
    <row r="11">
      <c r="A11" s="4" t="inlineStr">
        <is>
          <t>C007</t>
        </is>
      </c>
      <c r="B11" s="4" t="inlineStr">
        <is>
          <t>E107</t>
        </is>
      </c>
      <c r="C11" s="4" t="inlineStr">
        <is>
          <t>Missing Bank Account</t>
        </is>
      </c>
      <c r="D11" s="4" t="inlineStr">
        <is>
          <t>Critical</t>
        </is>
      </c>
      <c r="E11" s="4" t="inlineStr">
        <is>
          <t>Request updated bank mandate from customer before payroll lock.</t>
        </is>
      </c>
      <c r="F11" s="4">
        <f>IFERROR(INDEX('01_Customer_Tracker'!$B:$B,MATCH(A11,'01_Customer_Tracker'!$A:$A,0)),"")</f>
        <v/>
      </c>
    </row>
    <row r="12">
      <c r="A12" s="4" t="inlineStr">
        <is>
          <t>C027</t>
        </is>
      </c>
      <c r="B12" s="4" t="inlineStr">
        <is>
          <t>E110</t>
        </is>
      </c>
      <c r="C12" s="4" t="inlineStr">
        <is>
          <t>Invalid Bank Account Format</t>
        </is>
      </c>
      <c r="D12" s="4" t="inlineStr">
        <is>
          <t>Critical</t>
        </is>
      </c>
      <c r="E12" s="4" t="inlineStr">
        <is>
          <t>Re-verify account number with customer HR/finance POC.</t>
        </is>
      </c>
      <c r="F12" s="4">
        <f>IFERROR(INDEX('01_Customer_Tracker'!$B:$B,MATCH(A12,'01_Customer_Tracker'!$A:$A,0)),"")</f>
        <v/>
      </c>
    </row>
    <row r="13">
      <c r="A13" s="4" t="inlineStr">
        <is>
          <t>C041</t>
        </is>
      </c>
      <c r="B13" s="4" t="inlineStr">
        <is>
          <t>E115</t>
        </is>
      </c>
      <c r="C13" s="4" t="inlineStr">
        <is>
          <t>Missing UAN</t>
        </is>
      </c>
      <c r="D13" s="4" t="inlineStr">
        <is>
          <t>High</t>
        </is>
      </c>
      <c r="E13" s="4" t="inlineStr">
        <is>
          <t>Collect UAN or trigger new UAN generation via EPFO portal.</t>
        </is>
      </c>
      <c r="F13" s="4">
        <f>IFERROR(INDEX('01_Customer_Tracker'!$B:$B,MATCH(A13,'01_Customer_Tracker'!$A:$A,0)),"")</f>
        <v/>
      </c>
    </row>
    <row r="14">
      <c r="A14" s="4" t="inlineStr">
        <is>
          <t>C043</t>
        </is>
      </c>
      <c r="B14" s="4" t="inlineStr">
        <is>
          <t>E124</t>
        </is>
      </c>
      <c r="C14" s="4" t="inlineStr">
        <is>
          <t>Invalid Bank Account Format</t>
        </is>
      </c>
      <c r="D14" s="4" t="inlineStr">
        <is>
          <t>Critical</t>
        </is>
      </c>
      <c r="E14" s="4" t="inlineStr">
        <is>
          <t>Re-verify account number with customer HR/finance POC.</t>
        </is>
      </c>
      <c r="F14" s="4">
        <f>IFERROR(INDEX('01_Customer_Tracker'!$B:$B,MATCH(A14,'01_Customer_Tracker'!$A:$A,0)),"")</f>
        <v/>
      </c>
    </row>
    <row r="15">
      <c r="A15" s="4" t="inlineStr">
        <is>
          <t>C004</t>
        </is>
      </c>
      <c r="B15" s="4" t="inlineStr">
        <is>
          <t>E127</t>
        </is>
      </c>
      <c r="C15" s="4" t="inlineStr">
        <is>
          <t>Zero Attendance Days</t>
        </is>
      </c>
      <c r="D15" s="4" t="inlineStr">
        <is>
          <t>Medium</t>
        </is>
      </c>
      <c r="E15" s="4" t="inlineStr">
        <is>
          <t>Confirm attendance feed was received for this employee before payroll run.</t>
        </is>
      </c>
      <c r="F15" s="4">
        <f>IFERROR(INDEX('01_Customer_Tracker'!$B:$B,MATCH(A15,'01_Customer_Tracker'!$A:$A,0)),"")</f>
        <v/>
      </c>
    </row>
    <row r="16">
      <c r="A16" s="4" t="inlineStr">
        <is>
          <t>C050</t>
        </is>
      </c>
      <c r="B16" s="4" t="inlineStr">
        <is>
          <t>E133</t>
        </is>
      </c>
      <c r="C16" s="4" t="inlineStr">
        <is>
          <t>Missing Bank Account</t>
        </is>
      </c>
      <c r="D16" s="4" t="inlineStr">
        <is>
          <t>Critical</t>
        </is>
      </c>
      <c r="E16" s="4" t="inlineStr">
        <is>
          <t>Request updated bank mandate from customer before payroll lock.</t>
        </is>
      </c>
      <c r="F16" s="4">
        <f>IFERROR(INDEX('01_Customer_Tracker'!$B:$B,MATCH(A16,'01_Customer_Tracker'!$A:$A,0)),"")</f>
        <v/>
      </c>
    </row>
    <row r="17">
      <c r="A17" s="4" t="inlineStr">
        <is>
          <t>C024</t>
        </is>
      </c>
      <c r="B17" s="4" t="inlineStr">
        <is>
          <t>E146</t>
        </is>
      </c>
      <c r="C17" s="4" t="inlineStr">
        <is>
          <t>Overtime Outlier (&gt;50% of Basic)</t>
        </is>
      </c>
      <c r="D17" s="4" t="inlineStr">
        <is>
          <t>Medium</t>
        </is>
      </c>
      <c r="E17" s="4" t="inlineStr">
        <is>
          <t>Escalate to customer for overtime approval before disbursal.</t>
        </is>
      </c>
      <c r="F17" s="4">
        <f>IFERROR(INDEX('01_Customer_Tracker'!$B:$B,MATCH(A17,'01_Customer_Tracker'!$A:$A,0)),"")</f>
        <v/>
      </c>
    </row>
    <row r="18">
      <c r="A18" s="4" t="inlineStr">
        <is>
          <t>C002</t>
        </is>
      </c>
      <c r="B18" s="4" t="inlineStr">
        <is>
          <t>E165</t>
        </is>
      </c>
      <c r="C18" s="4" t="inlineStr">
        <is>
          <t>Missing Bank Account</t>
        </is>
      </c>
      <c r="D18" s="4" t="inlineStr">
        <is>
          <t>Critical</t>
        </is>
      </c>
      <c r="E18" s="4" t="inlineStr">
        <is>
          <t>Request updated bank mandate from customer before payroll lock.</t>
        </is>
      </c>
      <c r="F18" s="4">
        <f>IFERROR(INDEX('01_Customer_Tracker'!$B:$B,MATCH(A18,'01_Customer_Tracker'!$A:$A,0)),"")</f>
        <v/>
      </c>
    </row>
    <row r="19">
      <c r="A19" s="4" t="inlineStr">
        <is>
          <t>C045</t>
        </is>
      </c>
      <c r="B19" s="4" t="inlineStr">
        <is>
          <t>E173</t>
        </is>
      </c>
      <c r="C19" s="4" t="inlineStr">
        <is>
          <t>Missing Bank Account</t>
        </is>
      </c>
      <c r="D19" s="4" t="inlineStr">
        <is>
          <t>Critical</t>
        </is>
      </c>
      <c r="E19" s="4" t="inlineStr">
        <is>
          <t>Request updated bank mandate from customer before payroll lock.</t>
        </is>
      </c>
      <c r="F19" s="4">
        <f>IFERROR(INDEX('01_Customer_Tracker'!$B:$B,MATCH(A19,'01_Customer_Tracker'!$A:$A,0)),"")</f>
        <v/>
      </c>
    </row>
    <row r="20">
      <c r="A20" s="4" t="inlineStr">
        <is>
          <t>C032</t>
        </is>
      </c>
      <c r="B20" s="4" t="inlineStr">
        <is>
          <t>E179</t>
        </is>
      </c>
      <c r="C20" s="4" t="inlineStr">
        <is>
          <t>Missing PAN</t>
        </is>
      </c>
      <c r="D20" s="4" t="inlineStr">
        <is>
          <t>High</t>
        </is>
      </c>
      <c r="E20" s="4" t="inlineStr">
        <is>
          <t>Collect PAN copy; required for statutory TDS mapping.</t>
        </is>
      </c>
      <c r="F20" s="4">
        <f>IFERROR(INDEX('01_Customer_Tracker'!$B:$B,MATCH(A20,'01_Customer_Tracker'!$A:$A,0)),"")</f>
        <v/>
      </c>
    </row>
    <row r="21">
      <c r="A21" s="4" t="inlineStr">
        <is>
          <t>C046</t>
        </is>
      </c>
      <c r="B21" s="4" t="inlineStr">
        <is>
          <t>E180</t>
        </is>
      </c>
      <c r="C21" s="4" t="inlineStr">
        <is>
          <t>Invalid Bank Account Format</t>
        </is>
      </c>
      <c r="D21" s="4" t="inlineStr">
        <is>
          <t>Critical</t>
        </is>
      </c>
      <c r="E21" s="4" t="inlineStr">
        <is>
          <t>Re-verify account number with customer HR/finance POC.</t>
        </is>
      </c>
      <c r="F21" s="4">
        <f>IFERROR(INDEX('01_Customer_Tracker'!$B:$B,MATCH(A21,'01_Customer_Tracker'!$A:$A,0)),"")</f>
        <v/>
      </c>
    </row>
    <row r="22">
      <c r="A22" s="4" t="inlineStr">
        <is>
          <t>C021</t>
        </is>
      </c>
      <c r="B22" s="4" t="inlineStr">
        <is>
          <t>E187</t>
        </is>
      </c>
      <c r="C22" s="4" t="inlineStr">
        <is>
          <t>Missing UAN</t>
        </is>
      </c>
      <c r="D22" s="4" t="inlineStr">
        <is>
          <t>High</t>
        </is>
      </c>
      <c r="E22" s="4" t="inlineStr">
        <is>
          <t>Collect UAN or trigger new UAN generation via EPFO portal.</t>
        </is>
      </c>
      <c r="F22" s="4">
        <f>IFERROR(INDEX('01_Customer_Tracker'!$B:$B,MATCH(A22,'01_Customer_Tracker'!$A:$A,0)),"")</f>
        <v/>
      </c>
    </row>
    <row r="23">
      <c r="A23" s="4" t="inlineStr">
        <is>
          <t>C022</t>
        </is>
      </c>
      <c r="B23" s="4" t="inlineStr">
        <is>
          <t>E204</t>
        </is>
      </c>
      <c r="C23" s="4" t="inlineStr">
        <is>
          <t>Invalid Bank Account Format</t>
        </is>
      </c>
      <c r="D23" s="4" t="inlineStr">
        <is>
          <t>Critical</t>
        </is>
      </c>
      <c r="E23" s="4" t="inlineStr">
        <is>
          <t>Re-verify account number with customer HR/finance POC.</t>
        </is>
      </c>
      <c r="F23" s="4">
        <f>IFERROR(INDEX('01_Customer_Tracker'!$B:$B,MATCH(A23,'01_Customer_Tracker'!$A:$A,0)),"")</f>
        <v/>
      </c>
    </row>
    <row r="24">
      <c r="A24" s="4" t="inlineStr">
        <is>
          <t>C006</t>
        </is>
      </c>
      <c r="B24" s="4" t="inlineStr">
        <is>
          <t>E208</t>
        </is>
      </c>
      <c r="C24" s="4" t="inlineStr">
        <is>
          <t>Missing UAN</t>
        </is>
      </c>
      <c r="D24" s="4" t="inlineStr">
        <is>
          <t>High</t>
        </is>
      </c>
      <c r="E24" s="4" t="inlineStr">
        <is>
          <t>Collect UAN or trigger new UAN generation via EPFO portal.</t>
        </is>
      </c>
      <c r="F24" s="4">
        <f>IFERROR(INDEX('01_Customer_Tracker'!$B:$B,MATCH(A24,'01_Customer_Tracker'!$A:$A,0)),"")</f>
        <v/>
      </c>
    </row>
    <row r="25">
      <c r="A25" s="4" t="inlineStr">
        <is>
          <t>C002</t>
        </is>
      </c>
      <c r="B25" s="4" t="inlineStr">
        <is>
          <t>E212</t>
        </is>
      </c>
      <c r="C25" s="4" t="inlineStr">
        <is>
          <t>Overtime Outlier (&gt;50% of Basic)</t>
        </is>
      </c>
      <c r="D25" s="4" t="inlineStr">
        <is>
          <t>Medium</t>
        </is>
      </c>
      <c r="E25" s="4" t="inlineStr">
        <is>
          <t>Escalate to customer for overtime approval before disbursal.</t>
        </is>
      </c>
      <c r="F25" s="4">
        <f>IFERROR(INDEX('01_Customer_Tracker'!$B:$B,MATCH(A25,'01_Customer_Tracker'!$A:$A,0)),"")</f>
        <v/>
      </c>
    </row>
    <row r="26">
      <c r="A26" s="4" t="inlineStr">
        <is>
          <t>C031</t>
        </is>
      </c>
      <c r="B26" s="4" t="inlineStr">
        <is>
          <t>E226</t>
        </is>
      </c>
      <c r="C26" s="4" t="inlineStr">
        <is>
          <t>Negative Allowance Entry</t>
        </is>
      </c>
      <c r="D26" s="4" t="inlineStr">
        <is>
          <t>Critical</t>
        </is>
      </c>
      <c r="E26" s="4" t="inlineStr">
        <is>
          <t>Correct salary structure input; negative earnings block payroll run.</t>
        </is>
      </c>
      <c r="F26" s="4">
        <f>IFERROR(INDEX('01_Customer_Tracker'!$B:$B,MATCH(A26,'01_Customer_Tracker'!$A:$A,0)),"")</f>
        <v/>
      </c>
    </row>
    <row r="27">
      <c r="A27" s="4" t="inlineStr">
        <is>
          <t>C006</t>
        </is>
      </c>
      <c r="B27" s="4" t="inlineStr">
        <is>
          <t>E241</t>
        </is>
      </c>
      <c r="C27" s="4" t="inlineStr">
        <is>
          <t>Zero Attendance Days</t>
        </is>
      </c>
      <c r="D27" s="4" t="inlineStr">
        <is>
          <t>Medium</t>
        </is>
      </c>
      <c r="E27" s="4" t="inlineStr">
        <is>
          <t>Confirm attendance feed was received for this employee before payroll run.</t>
        </is>
      </c>
      <c r="F27" s="4">
        <f>IFERROR(INDEX('01_Customer_Tracker'!$B:$B,MATCH(A27,'01_Customer_Tracker'!$A:$A,0)),"")</f>
        <v/>
      </c>
    </row>
    <row r="28">
      <c r="A28" s="4" t="inlineStr">
        <is>
          <t>C002</t>
        </is>
      </c>
      <c r="B28" s="4" t="inlineStr">
        <is>
          <t>E245</t>
        </is>
      </c>
      <c r="C28" s="4" t="inlineStr">
        <is>
          <t>Negative Allowance Entry</t>
        </is>
      </c>
      <c r="D28" s="4" t="inlineStr">
        <is>
          <t>Critical</t>
        </is>
      </c>
      <c r="E28" s="4" t="inlineStr">
        <is>
          <t>Correct salary structure input; negative earnings block payroll run.</t>
        </is>
      </c>
      <c r="F28" s="4">
        <f>IFERROR(INDEX('01_Customer_Tracker'!$B:$B,MATCH(A28,'01_Customer_Tracker'!$A:$A,0)),"")</f>
        <v/>
      </c>
    </row>
    <row r="29">
      <c r="A29" s="4" t="inlineStr">
        <is>
          <t>C047</t>
        </is>
      </c>
      <c r="B29" s="4" t="inlineStr">
        <is>
          <t>E246</t>
        </is>
      </c>
      <c r="C29" s="4" t="inlineStr">
        <is>
          <t>Negative Allowance Entry</t>
        </is>
      </c>
      <c r="D29" s="4" t="inlineStr">
        <is>
          <t>Critical</t>
        </is>
      </c>
      <c r="E29" s="4" t="inlineStr">
        <is>
          <t>Correct salary structure input; negative earnings block payroll run.</t>
        </is>
      </c>
      <c r="F29" s="4">
        <f>IFERROR(INDEX('01_Customer_Tracker'!$B:$B,MATCH(A29,'01_Customer_Tracker'!$A:$A,0)),"")</f>
        <v/>
      </c>
    </row>
    <row r="30">
      <c r="A30" s="4" t="inlineStr">
        <is>
          <t>C010</t>
        </is>
      </c>
      <c r="B30" s="4" t="inlineStr">
        <is>
          <t>E248</t>
        </is>
      </c>
      <c r="C30" s="4" t="inlineStr">
        <is>
          <t>Negative Allowance Entry</t>
        </is>
      </c>
      <c r="D30" s="4" t="inlineStr">
        <is>
          <t>Critical</t>
        </is>
      </c>
      <c r="E30" s="4" t="inlineStr">
        <is>
          <t>Correct salary structure input; negative earnings block payroll run.</t>
        </is>
      </c>
      <c r="F30" s="4">
        <f>IFERROR(INDEX('01_Customer_Tracker'!$B:$B,MATCH(A30,'01_Customer_Tracker'!$A:$A,0)),"")</f>
        <v/>
      </c>
    </row>
    <row r="31">
      <c r="A31" s="4" t="inlineStr">
        <is>
          <t>C005</t>
        </is>
      </c>
      <c r="B31" s="4" t="inlineStr">
        <is>
          <t>E257</t>
        </is>
      </c>
      <c r="C31" s="4" t="inlineStr">
        <is>
          <t>Missing PAN</t>
        </is>
      </c>
      <c r="D31" s="4" t="inlineStr">
        <is>
          <t>High</t>
        </is>
      </c>
      <c r="E31" s="4" t="inlineStr">
        <is>
          <t>Collect PAN copy; required for statutory TDS mapping.</t>
        </is>
      </c>
      <c r="F31" s="4">
        <f>IFERROR(INDEX('01_Customer_Tracker'!$B:$B,MATCH(A31,'01_Customer_Tracker'!$A:$A,0)),"")</f>
        <v/>
      </c>
    </row>
    <row r="32">
      <c r="A32" s="4" t="inlineStr">
        <is>
          <t>C020</t>
        </is>
      </c>
      <c r="B32" s="4" t="inlineStr">
        <is>
          <t>E276</t>
        </is>
      </c>
      <c r="C32" s="4" t="inlineStr">
        <is>
          <t>Overtime Outlier (&gt;50% of Basic)</t>
        </is>
      </c>
      <c r="D32" s="4" t="inlineStr">
        <is>
          <t>Medium</t>
        </is>
      </c>
      <c r="E32" s="4" t="inlineStr">
        <is>
          <t>Escalate to customer for overtime approval before disbursal.</t>
        </is>
      </c>
      <c r="F32" s="4">
        <f>IFERROR(INDEX('01_Customer_Tracker'!$B:$B,MATCH(A32,'01_Customer_Tracker'!$A:$A,0)),"")</f>
        <v/>
      </c>
    </row>
    <row r="33">
      <c r="A33" s="4" t="inlineStr">
        <is>
          <t>C006</t>
        </is>
      </c>
      <c r="B33" s="4" t="inlineStr">
        <is>
          <t>E278</t>
        </is>
      </c>
      <c r="C33" s="4" t="inlineStr">
        <is>
          <t>Missing PAN</t>
        </is>
      </c>
      <c r="D33" s="4" t="inlineStr">
        <is>
          <t>High</t>
        </is>
      </c>
      <c r="E33" s="4" t="inlineStr">
        <is>
          <t>Collect PAN copy; required for statutory TDS mapping.</t>
        </is>
      </c>
      <c r="F33" s="4">
        <f>IFERROR(INDEX('01_Customer_Tracker'!$B:$B,MATCH(A33,'01_Customer_Tracker'!$A:$A,0)),"")</f>
        <v/>
      </c>
    </row>
    <row r="34">
      <c r="A34" s="4" t="inlineStr">
        <is>
          <t>C044</t>
        </is>
      </c>
      <c r="B34" s="4" t="inlineStr">
        <is>
          <t>E292</t>
        </is>
      </c>
      <c r="C34" s="4" t="inlineStr">
        <is>
          <t>Invalid Bank Account Format</t>
        </is>
      </c>
      <c r="D34" s="4" t="inlineStr">
        <is>
          <t>Critical</t>
        </is>
      </c>
      <c r="E34" s="4" t="inlineStr">
        <is>
          <t>Re-verify account number with customer HR/finance POC.</t>
        </is>
      </c>
      <c r="F34" s="4">
        <f>IFERROR(INDEX('01_Customer_Tracker'!$B:$B,MATCH(A34,'01_Customer_Tracker'!$A:$A,0)),"")</f>
        <v/>
      </c>
    </row>
    <row r="35">
      <c r="A35" s="4" t="inlineStr">
        <is>
          <t>C003</t>
        </is>
      </c>
      <c r="B35" s="4" t="inlineStr">
        <is>
          <t>E299</t>
        </is>
      </c>
      <c r="C35" s="4" t="inlineStr">
        <is>
          <t>Missing PAN</t>
        </is>
      </c>
      <c r="D35" s="4" t="inlineStr">
        <is>
          <t>High</t>
        </is>
      </c>
      <c r="E35" s="4" t="inlineStr">
        <is>
          <t>Collect PAN copy; required for statutory TDS mapping.</t>
        </is>
      </c>
      <c r="F35" s="4">
        <f>IFERROR(INDEX('01_Customer_Tracker'!$B:$B,MATCH(A35,'01_Customer_Tracker'!$A:$A,0)),"")</f>
        <v/>
      </c>
    </row>
    <row r="36">
      <c r="A36" s="4" t="inlineStr">
        <is>
          <t>C030</t>
        </is>
      </c>
      <c r="B36" s="4" t="inlineStr">
        <is>
          <t>E191</t>
        </is>
      </c>
      <c r="C36" s="4" t="inlineStr">
        <is>
          <t>Duplicate Employee ID</t>
        </is>
      </c>
      <c r="D36" s="4" t="inlineStr">
        <is>
          <t>Critical</t>
        </is>
      </c>
      <c r="E36" s="4" t="inlineStr">
        <is>
          <t>Reissue a unique employee ID; duplicate IDs will corrupt payroll register keys.</t>
        </is>
      </c>
      <c r="F36" s="4">
        <f>IFERROR(INDEX('01_Customer_Tracker'!$B:$B,MATCH(A36,'01_Customer_Tracker'!$A:$A,0)),"")</f>
        <v/>
      </c>
    </row>
    <row r="37">
      <c r="A37" s="4" t="inlineStr">
        <is>
          <t>C018</t>
        </is>
      </c>
      <c r="B37" s="4" t="inlineStr">
        <is>
          <t>E191</t>
        </is>
      </c>
      <c r="C37" s="4" t="inlineStr">
        <is>
          <t>Duplicate Employee ID</t>
        </is>
      </c>
      <c r="D37" s="4" t="inlineStr">
        <is>
          <t>Critical</t>
        </is>
      </c>
      <c r="E37" s="4" t="inlineStr">
        <is>
          <t>Reissue a unique employee ID; duplicate IDs will corrupt payroll register keys.</t>
        </is>
      </c>
      <c r="F37" s="4">
        <f>IFERROR(INDEX('01_Customer_Tracker'!$B:$B,MATCH(A37,'01_Customer_Tracker'!$A:$A,0)),"")</f>
        <v/>
      </c>
    </row>
    <row r="38">
      <c r="A38" s="4" t="inlineStr">
        <is>
          <t>C017</t>
        </is>
      </c>
      <c r="B38" s="4" t="inlineStr">
        <is>
          <t>E262</t>
        </is>
      </c>
      <c r="C38" s="4" t="inlineStr">
        <is>
          <t>Duplicate Employee ID</t>
        </is>
      </c>
      <c r="D38" s="4" t="inlineStr">
        <is>
          <t>Critical</t>
        </is>
      </c>
      <c r="E38" s="4" t="inlineStr">
        <is>
          <t>Reissue a unique employee ID; duplicate IDs will corrupt payroll register keys.</t>
        </is>
      </c>
      <c r="F38" s="4">
        <f>IFERROR(INDEX('01_Customer_Tracker'!$B:$B,MATCH(A38,'01_Customer_Tracker'!$A:$A,0)),"")</f>
        <v/>
      </c>
    </row>
    <row r="39">
      <c r="A39" s="4" t="inlineStr">
        <is>
          <t>C044</t>
        </is>
      </c>
      <c r="B39" s="4" t="inlineStr">
        <is>
          <t>E262</t>
        </is>
      </c>
      <c r="C39" s="4" t="inlineStr">
        <is>
          <t>Duplicate Employee ID</t>
        </is>
      </c>
      <c r="D39" s="4" t="inlineStr">
        <is>
          <t>Critical</t>
        </is>
      </c>
      <c r="E39" s="4" t="inlineStr">
        <is>
          <t>Reissue a unique employee ID; duplicate IDs will corrupt payroll register keys.</t>
        </is>
      </c>
      <c r="F39" s="4">
        <f>IFERROR(INDEX('01_Customer_Tracker'!$B:$B,MATCH(A39,'01_Customer_Tracker'!$A:$A,0)),"")</f>
        <v/>
      </c>
    </row>
    <row r="40">
      <c r="A40" s="4" t="inlineStr">
        <is>
          <t>C048</t>
        </is>
      </c>
      <c r="B40" s="4" t="inlineStr">
        <is>
          <t>E178</t>
        </is>
      </c>
      <c r="C40" s="4" t="inlineStr">
        <is>
          <t>Duplicate Employee ID</t>
        </is>
      </c>
      <c r="D40" s="4" t="inlineStr">
        <is>
          <t>Critical</t>
        </is>
      </c>
      <c r="E40" s="4" t="inlineStr">
        <is>
          <t>Reissue a unique employee ID; duplicate IDs will corrupt payroll register keys.</t>
        </is>
      </c>
      <c r="F40" s="4">
        <f>IFERROR(INDEX('01_Customer_Tracker'!$B:$B,MATCH(A40,'01_Customer_Tracker'!$A:$A,0)),"")</f>
        <v/>
      </c>
    </row>
    <row r="41">
      <c r="A41" s="4" t="inlineStr">
        <is>
          <t>C033</t>
        </is>
      </c>
      <c r="B41" s="4" t="inlineStr">
        <is>
          <t>E178</t>
        </is>
      </c>
      <c r="C41" s="4" t="inlineStr">
        <is>
          <t>Duplicate Employee ID</t>
        </is>
      </c>
      <c r="D41" s="4" t="inlineStr">
        <is>
          <t>Critical</t>
        </is>
      </c>
      <c r="E41" s="4" t="inlineStr">
        <is>
          <t>Reissue a unique employee ID; duplicate IDs will corrupt payroll register keys.</t>
        </is>
      </c>
      <c r="F41" s="4">
        <f>IFERROR(INDEX('01_Customer_Tracker'!$B:$B,MATCH(A41,'01_Customer_Tracker'!$A:$A,0)),"")</f>
        <v/>
      </c>
    </row>
  </sheetData>
  <conditionalFormatting sqref="D2:D41">
    <cfRule type="cellIs" priority="1" operator="equal" dxfId="0">
      <formula>"Critical"</formula>
    </cfRule>
    <cfRule type="cellIs" priority="2" operator="equal" dxfId="3">
      <formula>"High"</formula>
    </cfRule>
    <cfRule type="cellIs" priority="3" operator="equal" dxfId="1">
      <formula>"Medium"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3" customWidth="1" min="4" max="4"/>
    <col width="14" customWidth="1" min="5" max="5"/>
    <col width="12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expected_gross</t>
        </is>
      </c>
      <c r="D1" s="1" t="inlineStr">
        <is>
          <t>expected_net</t>
        </is>
      </c>
      <c r="E1" s="1" t="inlineStr">
        <is>
          <t>processed_net</t>
        </is>
      </c>
      <c r="F1" s="1" t="inlineStr">
        <is>
          <t>variance</t>
        </is>
      </c>
      <c r="G1" s="1" t="inlineStr">
        <is>
          <t>reconciliation_status</t>
        </is>
      </c>
      <c r="H1" s="1" t="inlineStr">
        <is>
          <t>sumifs_expected_net_check</t>
        </is>
      </c>
      <c r="I1" s="1" t="inlineStr">
        <is>
          <t>sumifs_processed_net_check</t>
        </is>
      </c>
    </row>
    <row r="2">
      <c r="A2" s="4" t="inlineStr">
        <is>
          <t>C001</t>
        </is>
      </c>
      <c r="B2" s="4">
        <f>IFERROR(INDEX('01_Customer_Tracker'!$B:$B,MATCH(A2,'01_Customer_Tracker'!$A:$A,0)),"")</f>
        <v/>
      </c>
      <c r="C2" s="8" t="n">
        <v>203302</v>
      </c>
      <c r="D2" s="8" t="n">
        <v>187507</v>
      </c>
      <c r="E2" s="8" t="n">
        <v>187507</v>
      </c>
      <c r="F2" s="9" t="n">
        <v>0</v>
      </c>
      <c r="G2" s="4" t="inlineStr">
        <is>
          <t>Reconciled</t>
        </is>
      </c>
      <c r="H2" s="8">
        <f>SUMIFS('03_Payroll_Register'!$D:$D,'03_Payroll_Register'!$B:$B,A2)</f>
        <v/>
      </c>
      <c r="I2" s="8">
        <f>SUMIFS('03_Payroll_Register'!$E:$E,'03_Payroll_Register'!$B:$B,A2)</f>
        <v/>
      </c>
    </row>
    <row r="3">
      <c r="A3" s="4" t="inlineStr">
        <is>
          <t>C002</t>
        </is>
      </c>
      <c r="B3" s="4">
        <f>IFERROR(INDEX('01_Customer_Tracker'!$B:$B,MATCH(A3,'01_Customer_Tracker'!$A:$A,0)),"")</f>
        <v/>
      </c>
      <c r="C3" s="8" t="n">
        <v>610706</v>
      </c>
      <c r="D3" s="8" t="n">
        <v>559868</v>
      </c>
      <c r="E3" s="8" t="n">
        <v>559868</v>
      </c>
      <c r="F3" s="9" t="n">
        <v>0</v>
      </c>
      <c r="G3" s="4" t="inlineStr">
        <is>
          <t>Reconciled</t>
        </is>
      </c>
      <c r="H3" s="8">
        <f>SUMIFS('03_Payroll_Register'!$D:$D,'03_Payroll_Register'!$B:$B,A3)</f>
        <v/>
      </c>
      <c r="I3" s="8">
        <f>SUMIFS('03_Payroll_Register'!$E:$E,'03_Payroll_Register'!$B:$B,A3)</f>
        <v/>
      </c>
    </row>
    <row r="4">
      <c r="A4" s="4" t="inlineStr">
        <is>
          <t>C003</t>
        </is>
      </c>
      <c r="B4" s="4">
        <f>IFERROR(INDEX('01_Customer_Tracker'!$B:$B,MATCH(A4,'01_Customer_Tracker'!$A:$A,0)),"")</f>
        <v/>
      </c>
      <c r="C4" s="8" t="n">
        <v>884519</v>
      </c>
      <c r="D4" s="8" t="n">
        <v>790818</v>
      </c>
      <c r="E4" s="8" t="n">
        <v>790818</v>
      </c>
      <c r="F4" s="9" t="n">
        <v>0</v>
      </c>
      <c r="G4" s="4" t="inlineStr">
        <is>
          <t>Reconciled</t>
        </is>
      </c>
      <c r="H4" s="8">
        <f>SUMIFS('03_Payroll_Register'!$D:$D,'03_Payroll_Register'!$B:$B,A4)</f>
        <v/>
      </c>
      <c r="I4" s="8">
        <f>SUMIFS('03_Payroll_Register'!$E:$E,'03_Payroll_Register'!$B:$B,A4)</f>
        <v/>
      </c>
    </row>
    <row r="5">
      <c r="A5" s="4" t="inlineStr">
        <is>
          <t>C004</t>
        </is>
      </c>
      <c r="B5" s="4">
        <f>IFERROR(INDEX('01_Customer_Tracker'!$B:$B,MATCH(A5,'01_Customer_Tracker'!$A:$A,0)),"")</f>
        <v/>
      </c>
      <c r="C5" s="8" t="n">
        <v>325535</v>
      </c>
      <c r="D5" s="8" t="n">
        <v>296204</v>
      </c>
      <c r="E5" s="8" t="n">
        <v>296204</v>
      </c>
      <c r="F5" s="9" t="n">
        <v>0</v>
      </c>
      <c r="G5" s="4" t="inlineStr">
        <is>
          <t>Reconciled</t>
        </is>
      </c>
      <c r="H5" s="8">
        <f>SUMIFS('03_Payroll_Register'!$D:$D,'03_Payroll_Register'!$B:$B,A5)</f>
        <v/>
      </c>
      <c r="I5" s="8">
        <f>SUMIFS('03_Payroll_Register'!$E:$E,'03_Payroll_Register'!$B:$B,A5)</f>
        <v/>
      </c>
    </row>
    <row r="6">
      <c r="A6" s="4" t="inlineStr">
        <is>
          <t>C005</t>
        </is>
      </c>
      <c r="B6" s="4">
        <f>IFERROR(INDEX('01_Customer_Tracker'!$B:$B,MATCH(A6,'01_Customer_Tracker'!$A:$A,0)),"")</f>
        <v/>
      </c>
      <c r="C6" s="8" t="n">
        <v>1186939</v>
      </c>
      <c r="D6" s="8" t="n">
        <v>1076239</v>
      </c>
      <c r="E6" s="8" t="n">
        <v>987007</v>
      </c>
      <c r="F6" s="9" t="n">
        <v>-89232</v>
      </c>
      <c r="G6" s="4" t="inlineStr">
        <is>
          <t>Unreconciled</t>
        </is>
      </c>
      <c r="H6" s="8">
        <f>SUMIFS('03_Payroll_Register'!$D:$D,'03_Payroll_Register'!$B:$B,A6)</f>
        <v/>
      </c>
      <c r="I6" s="8">
        <f>SUMIFS('03_Payroll_Register'!$E:$E,'03_Payroll_Register'!$B:$B,A6)</f>
        <v/>
      </c>
    </row>
    <row r="7">
      <c r="A7" s="4" t="inlineStr">
        <is>
          <t>C006</t>
        </is>
      </c>
      <c r="B7" s="4">
        <f>IFERROR(INDEX('01_Customer_Tracker'!$B:$B,MATCH(A7,'01_Customer_Tracker'!$A:$A,0)),"")</f>
        <v/>
      </c>
      <c r="C7" s="8" t="n">
        <v>1115311</v>
      </c>
      <c r="D7" s="8" t="n">
        <v>1003597</v>
      </c>
      <c r="E7" s="8" t="n">
        <v>1002874</v>
      </c>
      <c r="F7" s="9" t="n">
        <v>-723</v>
      </c>
      <c r="G7" s="4" t="inlineStr">
        <is>
          <t>Unreconciled</t>
        </is>
      </c>
      <c r="H7" s="8">
        <f>SUMIFS('03_Payroll_Register'!$D:$D,'03_Payroll_Register'!$B:$B,A7)</f>
        <v/>
      </c>
      <c r="I7" s="8">
        <f>SUMIFS('03_Payroll_Register'!$E:$E,'03_Payroll_Register'!$B:$B,A7)</f>
        <v/>
      </c>
    </row>
    <row r="8">
      <c r="A8" s="4" t="inlineStr">
        <is>
          <t>C007</t>
        </is>
      </c>
      <c r="B8" s="4">
        <f>IFERROR(INDEX('01_Customer_Tracker'!$B:$B,MATCH(A8,'01_Customer_Tracker'!$A:$A,0)),"")</f>
        <v/>
      </c>
      <c r="C8" s="8" t="n">
        <v>832957</v>
      </c>
      <c r="D8" s="8" t="n">
        <v>740009</v>
      </c>
      <c r="E8" s="8" t="n">
        <v>740009</v>
      </c>
      <c r="F8" s="9" t="n">
        <v>0</v>
      </c>
      <c r="G8" s="4" t="inlineStr">
        <is>
          <t>Reconciled</t>
        </is>
      </c>
      <c r="H8" s="8">
        <f>SUMIFS('03_Payroll_Register'!$D:$D,'03_Payroll_Register'!$B:$B,A8)</f>
        <v/>
      </c>
      <c r="I8" s="8">
        <f>SUMIFS('03_Payroll_Register'!$E:$E,'03_Payroll_Register'!$B:$B,A8)</f>
        <v/>
      </c>
    </row>
    <row r="9">
      <c r="A9" s="4" t="inlineStr">
        <is>
          <t>C008</t>
        </is>
      </c>
      <c r="B9" s="4">
        <f>IFERROR(INDEX('01_Customer_Tracker'!$B:$B,MATCH(A9,'01_Customer_Tracker'!$A:$A,0)),"")</f>
        <v/>
      </c>
      <c r="C9" s="8" t="n">
        <v>350406</v>
      </c>
      <c r="D9" s="8" t="n">
        <v>314162</v>
      </c>
      <c r="E9" s="8" t="n">
        <v>314162</v>
      </c>
      <c r="F9" s="9" t="n">
        <v>0</v>
      </c>
      <c r="G9" s="4" t="inlineStr">
        <is>
          <t>Reconciled</t>
        </is>
      </c>
      <c r="H9" s="8">
        <f>SUMIFS('03_Payroll_Register'!$D:$D,'03_Payroll_Register'!$B:$B,A9)</f>
        <v/>
      </c>
      <c r="I9" s="8">
        <f>SUMIFS('03_Payroll_Register'!$E:$E,'03_Payroll_Register'!$B:$B,A9)</f>
        <v/>
      </c>
    </row>
    <row r="10">
      <c r="A10" s="4" t="inlineStr">
        <is>
          <t>C009</t>
        </is>
      </c>
      <c r="B10" s="4">
        <f>IFERROR(INDEX('01_Customer_Tracker'!$B:$B,MATCH(A10,'01_Customer_Tracker'!$A:$A,0)),"")</f>
        <v/>
      </c>
      <c r="C10" s="8" t="n">
        <v>232314</v>
      </c>
      <c r="D10" s="8" t="n">
        <v>211011</v>
      </c>
      <c r="E10" s="8" t="n">
        <v>199521</v>
      </c>
      <c r="F10" s="9" t="n">
        <v>-11490</v>
      </c>
      <c r="G10" s="4" t="inlineStr">
        <is>
          <t>Unreconciled</t>
        </is>
      </c>
      <c r="H10" s="8">
        <f>SUMIFS('03_Payroll_Register'!$D:$D,'03_Payroll_Register'!$B:$B,A10)</f>
        <v/>
      </c>
      <c r="I10" s="8">
        <f>SUMIFS('03_Payroll_Register'!$E:$E,'03_Payroll_Register'!$B:$B,A10)</f>
        <v/>
      </c>
    </row>
    <row r="11">
      <c r="A11" s="4" t="inlineStr">
        <is>
          <t>C010</t>
        </is>
      </c>
      <c r="B11" s="4">
        <f>IFERROR(INDEX('01_Customer_Tracker'!$B:$B,MATCH(A11,'01_Customer_Tracker'!$A:$A,0)),"")</f>
        <v/>
      </c>
      <c r="C11" s="8" t="n">
        <v>245610</v>
      </c>
      <c r="D11" s="8" t="n">
        <v>222375</v>
      </c>
      <c r="E11" s="8" t="n">
        <v>222375</v>
      </c>
      <c r="F11" s="9" t="n">
        <v>0</v>
      </c>
      <c r="G11" s="4" t="inlineStr">
        <is>
          <t>Reconciled</t>
        </is>
      </c>
      <c r="H11" s="8">
        <f>SUMIFS('03_Payroll_Register'!$D:$D,'03_Payroll_Register'!$B:$B,A11)</f>
        <v/>
      </c>
      <c r="I11" s="8">
        <f>SUMIFS('03_Payroll_Register'!$E:$E,'03_Payroll_Register'!$B:$B,A11)</f>
        <v/>
      </c>
    </row>
    <row r="12">
      <c r="A12" s="4" t="inlineStr">
        <is>
          <t>C011</t>
        </is>
      </c>
      <c r="B12" s="4">
        <f>IFERROR(INDEX('01_Customer_Tracker'!$B:$B,MATCH(A12,'01_Customer_Tracker'!$A:$A,0)),"")</f>
        <v/>
      </c>
      <c r="C12" s="8" t="n">
        <v>194043</v>
      </c>
      <c r="D12" s="8" t="n">
        <v>178801</v>
      </c>
      <c r="E12" s="8" t="n">
        <v>178801</v>
      </c>
      <c r="F12" s="9" t="n">
        <v>0</v>
      </c>
      <c r="G12" s="4" t="inlineStr">
        <is>
          <t>Reconciled</t>
        </is>
      </c>
      <c r="H12" s="8">
        <f>SUMIFS('03_Payroll_Register'!$D:$D,'03_Payroll_Register'!$B:$B,A12)</f>
        <v/>
      </c>
      <c r="I12" s="8">
        <f>SUMIFS('03_Payroll_Register'!$E:$E,'03_Payroll_Register'!$B:$B,A12)</f>
        <v/>
      </c>
    </row>
    <row r="13">
      <c r="A13" s="4" t="inlineStr">
        <is>
          <t>C012</t>
        </is>
      </c>
      <c r="B13" s="4">
        <f>IFERROR(INDEX('01_Customer_Tracker'!$B:$B,MATCH(A13,'01_Customer_Tracker'!$A:$A,0)),"")</f>
        <v/>
      </c>
      <c r="C13" s="8" t="n">
        <v>841107</v>
      </c>
      <c r="D13" s="8" t="n">
        <v>762183</v>
      </c>
      <c r="E13" s="8" t="n">
        <v>762183</v>
      </c>
      <c r="F13" s="9" t="n">
        <v>0</v>
      </c>
      <c r="G13" s="4" t="inlineStr">
        <is>
          <t>Reconciled</t>
        </is>
      </c>
      <c r="H13" s="8">
        <f>SUMIFS('03_Payroll_Register'!$D:$D,'03_Payroll_Register'!$B:$B,A13)</f>
        <v/>
      </c>
      <c r="I13" s="8">
        <f>SUMIFS('03_Payroll_Register'!$E:$E,'03_Payroll_Register'!$B:$B,A13)</f>
        <v/>
      </c>
    </row>
    <row r="14">
      <c r="A14" s="4" t="inlineStr">
        <is>
          <t>C013</t>
        </is>
      </c>
      <c r="B14" s="4">
        <f>IFERROR(INDEX('01_Customer_Tracker'!$B:$B,MATCH(A14,'01_Customer_Tracker'!$A:$A,0)),"")</f>
        <v/>
      </c>
      <c r="C14" s="8" t="n">
        <v>115828</v>
      </c>
      <c r="D14" s="8" t="n">
        <v>103291</v>
      </c>
      <c r="E14" s="8" t="n">
        <v>103291</v>
      </c>
      <c r="F14" s="9" t="n">
        <v>0</v>
      </c>
      <c r="G14" s="4" t="inlineStr">
        <is>
          <t>Reconciled</t>
        </is>
      </c>
      <c r="H14" s="8">
        <f>SUMIFS('03_Payroll_Register'!$D:$D,'03_Payroll_Register'!$B:$B,A14)</f>
        <v/>
      </c>
      <c r="I14" s="8">
        <f>SUMIFS('03_Payroll_Register'!$E:$E,'03_Payroll_Register'!$B:$B,A14)</f>
        <v/>
      </c>
    </row>
    <row r="15">
      <c r="A15" s="4" t="inlineStr">
        <is>
          <t>C014</t>
        </is>
      </c>
      <c r="B15" s="4">
        <f>IFERROR(INDEX('01_Customer_Tracker'!$B:$B,MATCH(A15,'01_Customer_Tracker'!$A:$A,0)),"")</f>
        <v/>
      </c>
      <c r="C15" s="8" t="n">
        <v>548955</v>
      </c>
      <c r="D15" s="8" t="n">
        <v>496715</v>
      </c>
      <c r="E15" s="8" t="n">
        <v>496715</v>
      </c>
      <c r="F15" s="9" t="n">
        <v>0</v>
      </c>
      <c r="G15" s="4" t="inlineStr">
        <is>
          <t>Reconciled</t>
        </is>
      </c>
      <c r="H15" s="8">
        <f>SUMIFS('03_Payroll_Register'!$D:$D,'03_Payroll_Register'!$B:$B,A15)</f>
        <v/>
      </c>
      <c r="I15" s="8">
        <f>SUMIFS('03_Payroll_Register'!$E:$E,'03_Payroll_Register'!$B:$B,A15)</f>
        <v/>
      </c>
    </row>
    <row r="16">
      <c r="A16" s="4" t="inlineStr">
        <is>
          <t>C015</t>
        </is>
      </c>
      <c r="B16" s="4">
        <f>IFERROR(INDEX('01_Customer_Tracker'!$B:$B,MATCH(A16,'01_Customer_Tracker'!$A:$A,0)),"")</f>
        <v/>
      </c>
      <c r="C16" s="8" t="n">
        <v>252405</v>
      </c>
      <c r="D16" s="8" t="n">
        <v>232579</v>
      </c>
      <c r="E16" s="8" t="n">
        <v>232579</v>
      </c>
      <c r="F16" s="9" t="n">
        <v>0</v>
      </c>
      <c r="G16" s="4" t="inlineStr">
        <is>
          <t>Reconciled</t>
        </is>
      </c>
      <c r="H16" s="8">
        <f>SUMIFS('03_Payroll_Register'!$D:$D,'03_Payroll_Register'!$B:$B,A16)</f>
        <v/>
      </c>
      <c r="I16" s="8">
        <f>SUMIFS('03_Payroll_Register'!$E:$E,'03_Payroll_Register'!$B:$B,A16)</f>
        <v/>
      </c>
    </row>
    <row r="17">
      <c r="A17" s="4" t="inlineStr">
        <is>
          <t>C016</t>
        </is>
      </c>
      <c r="B17" s="4">
        <f>IFERROR(INDEX('01_Customer_Tracker'!$B:$B,MATCH(A17,'01_Customer_Tracker'!$A:$A,0)),"")</f>
        <v/>
      </c>
      <c r="C17" s="8" t="n">
        <v>356918</v>
      </c>
      <c r="D17" s="8" t="n">
        <v>325459</v>
      </c>
      <c r="E17" s="8" t="n">
        <v>325459</v>
      </c>
      <c r="F17" s="9" t="n">
        <v>0</v>
      </c>
      <c r="G17" s="4" t="inlineStr">
        <is>
          <t>Reconciled</t>
        </is>
      </c>
      <c r="H17" s="8">
        <f>SUMIFS('03_Payroll_Register'!$D:$D,'03_Payroll_Register'!$B:$B,A17)</f>
        <v/>
      </c>
      <c r="I17" s="8">
        <f>SUMIFS('03_Payroll_Register'!$E:$E,'03_Payroll_Register'!$B:$B,A17)</f>
        <v/>
      </c>
    </row>
    <row r="18">
      <c r="A18" s="4" t="inlineStr">
        <is>
          <t>C017</t>
        </is>
      </c>
      <c r="B18" s="4">
        <f>IFERROR(INDEX('01_Customer_Tracker'!$B:$B,MATCH(A18,'01_Customer_Tracker'!$A:$A,0)),"")</f>
        <v/>
      </c>
      <c r="C18" s="8" t="n">
        <v>677103</v>
      </c>
      <c r="D18" s="8" t="n">
        <v>601745</v>
      </c>
      <c r="E18" s="8" t="n">
        <v>601745</v>
      </c>
      <c r="F18" s="9" t="n">
        <v>0</v>
      </c>
      <c r="G18" s="4" t="inlineStr">
        <is>
          <t>Reconciled</t>
        </is>
      </c>
      <c r="H18" s="8">
        <f>SUMIFS('03_Payroll_Register'!$D:$D,'03_Payroll_Register'!$B:$B,A18)</f>
        <v/>
      </c>
      <c r="I18" s="8">
        <f>SUMIFS('03_Payroll_Register'!$E:$E,'03_Payroll_Register'!$B:$B,A18)</f>
        <v/>
      </c>
    </row>
    <row r="19">
      <c r="A19" s="4" t="inlineStr">
        <is>
          <t>C018</t>
        </is>
      </c>
      <c r="B19" s="4">
        <f>IFERROR(INDEX('01_Customer_Tracker'!$B:$B,MATCH(A19,'01_Customer_Tracker'!$A:$A,0)),"")</f>
        <v/>
      </c>
      <c r="C19" s="8" t="n">
        <v>213591</v>
      </c>
      <c r="D19" s="8" t="n">
        <v>190041</v>
      </c>
      <c r="E19" s="8" t="n">
        <v>190041</v>
      </c>
      <c r="F19" s="9" t="n">
        <v>0</v>
      </c>
      <c r="G19" s="4" t="inlineStr">
        <is>
          <t>Reconciled</t>
        </is>
      </c>
      <c r="H19" s="8">
        <f>SUMIFS('03_Payroll_Register'!$D:$D,'03_Payroll_Register'!$B:$B,A19)</f>
        <v/>
      </c>
      <c r="I19" s="8">
        <f>SUMIFS('03_Payroll_Register'!$E:$E,'03_Payroll_Register'!$B:$B,A19)</f>
        <v/>
      </c>
    </row>
    <row r="20">
      <c r="A20" s="4" t="inlineStr">
        <is>
          <t>C019</t>
        </is>
      </c>
      <c r="B20" s="4">
        <f>IFERROR(INDEX('01_Customer_Tracker'!$B:$B,MATCH(A20,'01_Customer_Tracker'!$A:$A,0)),"")</f>
        <v/>
      </c>
      <c r="C20" s="8" t="n">
        <v>86389</v>
      </c>
      <c r="D20" s="8" t="n">
        <v>79746</v>
      </c>
      <c r="E20" s="8" t="n">
        <v>73303</v>
      </c>
      <c r="F20" s="9" t="n">
        <v>-6443</v>
      </c>
      <c r="G20" s="4" t="inlineStr">
        <is>
          <t>Unreconciled</t>
        </is>
      </c>
      <c r="H20" s="8">
        <f>SUMIFS('03_Payroll_Register'!$D:$D,'03_Payroll_Register'!$B:$B,A20)</f>
        <v/>
      </c>
      <c r="I20" s="8">
        <f>SUMIFS('03_Payroll_Register'!$E:$E,'03_Payroll_Register'!$B:$B,A20)</f>
        <v/>
      </c>
    </row>
    <row r="21">
      <c r="A21" s="4" t="inlineStr">
        <is>
          <t>C020</t>
        </is>
      </c>
      <c r="B21" s="4">
        <f>IFERROR(INDEX('01_Customer_Tracker'!$B:$B,MATCH(A21,'01_Customer_Tracker'!$A:$A,0)),"")</f>
        <v/>
      </c>
      <c r="C21" s="8" t="n">
        <v>468769</v>
      </c>
      <c r="D21" s="8" t="n">
        <v>422114</v>
      </c>
      <c r="E21" s="8" t="n">
        <v>422114</v>
      </c>
      <c r="F21" s="9" t="n">
        <v>0</v>
      </c>
      <c r="G21" s="4" t="inlineStr">
        <is>
          <t>Reconciled</t>
        </is>
      </c>
      <c r="H21" s="8">
        <f>SUMIFS('03_Payroll_Register'!$D:$D,'03_Payroll_Register'!$B:$B,A21)</f>
        <v/>
      </c>
      <c r="I21" s="8">
        <f>SUMIFS('03_Payroll_Register'!$E:$E,'03_Payroll_Register'!$B:$B,A21)</f>
        <v/>
      </c>
    </row>
    <row r="22">
      <c r="A22" s="4" t="inlineStr">
        <is>
          <t>C021</t>
        </is>
      </c>
      <c r="B22" s="4">
        <f>IFERROR(INDEX('01_Customer_Tracker'!$B:$B,MATCH(A22,'01_Customer_Tracker'!$A:$A,0)),"")</f>
        <v/>
      </c>
      <c r="C22" s="8" t="n">
        <v>596771</v>
      </c>
      <c r="D22" s="8" t="n">
        <v>545805</v>
      </c>
      <c r="E22" s="8" t="n">
        <v>545805</v>
      </c>
      <c r="F22" s="9" t="n">
        <v>0</v>
      </c>
      <c r="G22" s="4" t="inlineStr">
        <is>
          <t>Reconciled</t>
        </is>
      </c>
      <c r="H22" s="8">
        <f>SUMIFS('03_Payroll_Register'!$D:$D,'03_Payroll_Register'!$B:$B,A22)</f>
        <v/>
      </c>
      <c r="I22" s="8">
        <f>SUMIFS('03_Payroll_Register'!$E:$E,'03_Payroll_Register'!$B:$B,A22)</f>
        <v/>
      </c>
    </row>
    <row r="23">
      <c r="A23" s="4" t="inlineStr">
        <is>
          <t>C022</t>
        </is>
      </c>
      <c r="B23" s="4">
        <f>IFERROR(INDEX('01_Customer_Tracker'!$B:$B,MATCH(A23,'01_Customer_Tracker'!$A:$A,0)),"")</f>
        <v/>
      </c>
      <c r="C23" s="8" t="n">
        <v>863624</v>
      </c>
      <c r="D23" s="8" t="n">
        <v>773832</v>
      </c>
      <c r="E23" s="8" t="n">
        <v>773832</v>
      </c>
      <c r="F23" s="9" t="n">
        <v>0</v>
      </c>
      <c r="G23" s="4" t="inlineStr">
        <is>
          <t>Reconciled</t>
        </is>
      </c>
      <c r="H23" s="8">
        <f>SUMIFS('03_Payroll_Register'!$D:$D,'03_Payroll_Register'!$B:$B,A23)</f>
        <v/>
      </c>
      <c r="I23" s="8">
        <f>SUMIFS('03_Payroll_Register'!$E:$E,'03_Payroll_Register'!$B:$B,A23)</f>
        <v/>
      </c>
    </row>
    <row r="24">
      <c r="A24" s="4" t="inlineStr">
        <is>
          <t>C023</t>
        </is>
      </c>
      <c r="B24" s="4">
        <f>IFERROR(INDEX('01_Customer_Tracker'!$B:$B,MATCH(A24,'01_Customer_Tracker'!$A:$A,0)),"")</f>
        <v/>
      </c>
      <c r="C24" s="8" t="n">
        <v>816512</v>
      </c>
      <c r="D24" s="8" t="n">
        <v>736851</v>
      </c>
      <c r="E24" s="8" t="n">
        <v>736851</v>
      </c>
      <c r="F24" s="9" t="n">
        <v>0</v>
      </c>
      <c r="G24" s="4" t="inlineStr">
        <is>
          <t>Reconciled</t>
        </is>
      </c>
      <c r="H24" s="8">
        <f>SUMIFS('03_Payroll_Register'!$D:$D,'03_Payroll_Register'!$B:$B,A24)</f>
        <v/>
      </c>
      <c r="I24" s="8">
        <f>SUMIFS('03_Payroll_Register'!$E:$E,'03_Payroll_Register'!$B:$B,A24)</f>
        <v/>
      </c>
    </row>
    <row r="25">
      <c r="A25" s="4" t="inlineStr">
        <is>
          <t>C024</t>
        </is>
      </c>
      <c r="B25" s="4">
        <f>IFERROR(INDEX('01_Customer_Tracker'!$B:$B,MATCH(A25,'01_Customer_Tracker'!$A:$A,0)),"")</f>
        <v/>
      </c>
      <c r="C25" s="8" t="n">
        <v>255920</v>
      </c>
      <c r="D25" s="8" t="n">
        <v>233044</v>
      </c>
      <c r="E25" s="8" t="n">
        <v>233044</v>
      </c>
      <c r="F25" s="9" t="n">
        <v>0</v>
      </c>
      <c r="G25" s="4" t="inlineStr">
        <is>
          <t>Reconciled</t>
        </is>
      </c>
      <c r="H25" s="8">
        <f>SUMIFS('03_Payroll_Register'!$D:$D,'03_Payroll_Register'!$B:$B,A25)</f>
        <v/>
      </c>
      <c r="I25" s="8">
        <f>SUMIFS('03_Payroll_Register'!$E:$E,'03_Payroll_Register'!$B:$B,A25)</f>
        <v/>
      </c>
    </row>
    <row r="26">
      <c r="A26" s="4" t="inlineStr">
        <is>
          <t>C025</t>
        </is>
      </c>
      <c r="B26" s="4">
        <f>IFERROR(INDEX('01_Customer_Tracker'!$B:$B,MATCH(A26,'01_Customer_Tracker'!$A:$A,0)),"")</f>
        <v/>
      </c>
      <c r="C26" s="8" t="n">
        <v>463848</v>
      </c>
      <c r="D26" s="8" t="n">
        <v>419512</v>
      </c>
      <c r="E26" s="8" t="n">
        <v>428321</v>
      </c>
      <c r="F26" s="9" t="n">
        <v>8809</v>
      </c>
      <c r="G26" s="4" t="inlineStr">
        <is>
          <t>Unreconciled</t>
        </is>
      </c>
      <c r="H26" s="8">
        <f>SUMIFS('03_Payroll_Register'!$D:$D,'03_Payroll_Register'!$B:$B,A26)</f>
        <v/>
      </c>
      <c r="I26" s="8">
        <f>SUMIFS('03_Payroll_Register'!$E:$E,'03_Payroll_Register'!$B:$B,A26)</f>
        <v/>
      </c>
    </row>
    <row r="27">
      <c r="A27" s="4" t="inlineStr">
        <is>
          <t>C026</t>
        </is>
      </c>
      <c r="B27" s="4">
        <f>IFERROR(INDEX('01_Customer_Tracker'!$B:$B,MATCH(A27,'01_Customer_Tracker'!$A:$A,0)),"")</f>
        <v/>
      </c>
      <c r="C27" s="8" t="n">
        <v>252077</v>
      </c>
      <c r="D27" s="8" t="n">
        <v>228558</v>
      </c>
      <c r="E27" s="8" t="n">
        <v>228558</v>
      </c>
      <c r="F27" s="9" t="n">
        <v>0</v>
      </c>
      <c r="G27" s="4" t="inlineStr">
        <is>
          <t>Reconciled</t>
        </is>
      </c>
      <c r="H27" s="8">
        <f>SUMIFS('03_Payroll_Register'!$D:$D,'03_Payroll_Register'!$B:$B,A27)</f>
        <v/>
      </c>
      <c r="I27" s="8">
        <f>SUMIFS('03_Payroll_Register'!$E:$E,'03_Payroll_Register'!$B:$B,A27)</f>
        <v/>
      </c>
    </row>
    <row r="28">
      <c r="A28" s="4" t="inlineStr">
        <is>
          <t>C027</t>
        </is>
      </c>
      <c r="B28" s="4">
        <f>IFERROR(INDEX('01_Customer_Tracker'!$B:$B,MATCH(A28,'01_Customer_Tracker'!$A:$A,0)),"")</f>
        <v/>
      </c>
      <c r="C28" s="8" t="n">
        <v>126535</v>
      </c>
      <c r="D28" s="8" t="n">
        <v>116808</v>
      </c>
      <c r="E28" s="8" t="n">
        <v>116808</v>
      </c>
      <c r="F28" s="9" t="n">
        <v>0</v>
      </c>
      <c r="G28" s="4" t="inlineStr">
        <is>
          <t>Reconciled</t>
        </is>
      </c>
      <c r="H28" s="8">
        <f>SUMIFS('03_Payroll_Register'!$D:$D,'03_Payroll_Register'!$B:$B,A28)</f>
        <v/>
      </c>
      <c r="I28" s="8">
        <f>SUMIFS('03_Payroll_Register'!$E:$E,'03_Payroll_Register'!$B:$B,A28)</f>
        <v/>
      </c>
    </row>
    <row r="29">
      <c r="A29" s="4" t="inlineStr">
        <is>
          <t>C028</t>
        </is>
      </c>
      <c r="B29" s="4">
        <f>IFERROR(INDEX('01_Customer_Tracker'!$B:$B,MATCH(A29,'01_Customer_Tracker'!$A:$A,0)),"")</f>
        <v/>
      </c>
      <c r="C29" s="8" t="n">
        <v>276958</v>
      </c>
      <c r="D29" s="8" t="n">
        <v>249112</v>
      </c>
      <c r="E29" s="8" t="n">
        <v>249112</v>
      </c>
      <c r="F29" s="9" t="n">
        <v>0</v>
      </c>
      <c r="G29" s="4" t="inlineStr">
        <is>
          <t>Reconciled</t>
        </is>
      </c>
      <c r="H29" s="8">
        <f>SUMIFS('03_Payroll_Register'!$D:$D,'03_Payroll_Register'!$B:$B,A29)</f>
        <v/>
      </c>
      <c r="I29" s="8">
        <f>SUMIFS('03_Payroll_Register'!$E:$E,'03_Payroll_Register'!$B:$B,A29)</f>
        <v/>
      </c>
    </row>
    <row r="30">
      <c r="A30" s="4" t="inlineStr">
        <is>
          <t>C029</t>
        </is>
      </c>
      <c r="B30" s="4">
        <f>IFERROR(INDEX('01_Customer_Tracker'!$B:$B,MATCH(A30,'01_Customer_Tracker'!$A:$A,0)),"")</f>
        <v/>
      </c>
      <c r="C30" s="8" t="n">
        <v>375722</v>
      </c>
      <c r="D30" s="8" t="n">
        <v>341357</v>
      </c>
      <c r="E30" s="8" t="n">
        <v>341357</v>
      </c>
      <c r="F30" s="9" t="n">
        <v>0</v>
      </c>
      <c r="G30" s="4" t="inlineStr">
        <is>
          <t>Reconciled</t>
        </is>
      </c>
      <c r="H30" s="8">
        <f>SUMIFS('03_Payroll_Register'!$D:$D,'03_Payroll_Register'!$B:$B,A30)</f>
        <v/>
      </c>
      <c r="I30" s="8">
        <f>SUMIFS('03_Payroll_Register'!$E:$E,'03_Payroll_Register'!$B:$B,A30)</f>
        <v/>
      </c>
    </row>
    <row r="31">
      <c r="A31" s="4" t="inlineStr">
        <is>
          <t>C030</t>
        </is>
      </c>
      <c r="B31" s="4">
        <f>IFERROR(INDEX('01_Customer_Tracker'!$B:$B,MATCH(A31,'01_Customer_Tracker'!$A:$A,0)),"")</f>
        <v/>
      </c>
      <c r="C31" s="8" t="n">
        <v>532923</v>
      </c>
      <c r="D31" s="8" t="n">
        <v>483177</v>
      </c>
      <c r="E31" s="8" t="n">
        <v>483177</v>
      </c>
      <c r="F31" s="9" t="n">
        <v>0</v>
      </c>
      <c r="G31" s="4" t="inlineStr">
        <is>
          <t>Reconciled</t>
        </is>
      </c>
      <c r="H31" s="8">
        <f>SUMIFS('03_Payroll_Register'!$D:$D,'03_Payroll_Register'!$B:$B,A31)</f>
        <v/>
      </c>
      <c r="I31" s="8">
        <f>SUMIFS('03_Payroll_Register'!$E:$E,'03_Payroll_Register'!$B:$B,A31)</f>
        <v/>
      </c>
    </row>
    <row r="32">
      <c r="A32" s="4" t="inlineStr">
        <is>
          <t>C031</t>
        </is>
      </c>
      <c r="B32" s="4">
        <f>IFERROR(INDEX('01_Customer_Tracker'!$B:$B,MATCH(A32,'01_Customer_Tracker'!$A:$A,0)),"")</f>
        <v/>
      </c>
      <c r="C32" s="8" t="n">
        <v>867719</v>
      </c>
      <c r="D32" s="8" t="n">
        <v>779796</v>
      </c>
      <c r="E32" s="8" t="n">
        <v>779796</v>
      </c>
      <c r="F32" s="9" t="n">
        <v>0</v>
      </c>
      <c r="G32" s="4" t="inlineStr">
        <is>
          <t>Reconciled</t>
        </is>
      </c>
      <c r="H32" s="8">
        <f>SUMIFS('03_Payroll_Register'!$D:$D,'03_Payroll_Register'!$B:$B,A32)</f>
        <v/>
      </c>
      <c r="I32" s="8">
        <f>SUMIFS('03_Payroll_Register'!$E:$E,'03_Payroll_Register'!$B:$B,A32)</f>
        <v/>
      </c>
    </row>
    <row r="33">
      <c r="A33" s="4" t="inlineStr">
        <is>
          <t>C032</t>
        </is>
      </c>
      <c r="B33" s="4">
        <f>IFERROR(INDEX('01_Customer_Tracker'!$B:$B,MATCH(A33,'01_Customer_Tracker'!$A:$A,0)),"")</f>
        <v/>
      </c>
      <c r="C33" s="8" t="n">
        <v>711878</v>
      </c>
      <c r="D33" s="8" t="n">
        <v>638983</v>
      </c>
      <c r="E33" s="8" t="n">
        <v>638983</v>
      </c>
      <c r="F33" s="9" t="n">
        <v>0</v>
      </c>
      <c r="G33" s="4" t="inlineStr">
        <is>
          <t>Reconciled</t>
        </is>
      </c>
      <c r="H33" s="8">
        <f>SUMIFS('03_Payroll_Register'!$D:$D,'03_Payroll_Register'!$B:$B,A33)</f>
        <v/>
      </c>
      <c r="I33" s="8">
        <f>SUMIFS('03_Payroll_Register'!$E:$E,'03_Payroll_Register'!$B:$B,A33)</f>
        <v/>
      </c>
    </row>
    <row r="34">
      <c r="A34" s="4" t="inlineStr">
        <is>
          <t>C033</t>
        </is>
      </c>
      <c r="B34" s="4">
        <f>IFERROR(INDEX('01_Customer_Tracker'!$B:$B,MATCH(A34,'01_Customer_Tracker'!$A:$A,0)),"")</f>
        <v/>
      </c>
      <c r="C34" s="8" t="n">
        <v>521858</v>
      </c>
      <c r="D34" s="8" t="n">
        <v>467096</v>
      </c>
      <c r="E34" s="8" t="n">
        <v>467096</v>
      </c>
      <c r="F34" s="9" t="n">
        <v>0</v>
      </c>
      <c r="G34" s="4" t="inlineStr">
        <is>
          <t>Reconciled</t>
        </is>
      </c>
      <c r="H34" s="8">
        <f>SUMIFS('03_Payroll_Register'!$D:$D,'03_Payroll_Register'!$B:$B,A34)</f>
        <v/>
      </c>
      <c r="I34" s="8">
        <f>SUMIFS('03_Payroll_Register'!$E:$E,'03_Payroll_Register'!$B:$B,A34)</f>
        <v/>
      </c>
    </row>
    <row r="35">
      <c r="A35" s="4" t="inlineStr">
        <is>
          <t>C034</t>
        </is>
      </c>
      <c r="B35" s="4">
        <f>IFERROR(INDEX('01_Customer_Tracker'!$B:$B,MATCH(A35,'01_Customer_Tracker'!$A:$A,0)),"")</f>
        <v/>
      </c>
      <c r="C35" s="8" t="n">
        <v>705459</v>
      </c>
      <c r="D35" s="8" t="n">
        <v>631862</v>
      </c>
      <c r="E35" s="8" t="n">
        <v>631862</v>
      </c>
      <c r="F35" s="9" t="n">
        <v>0</v>
      </c>
      <c r="G35" s="4" t="inlineStr">
        <is>
          <t>Reconciled</t>
        </is>
      </c>
      <c r="H35" s="8">
        <f>SUMIFS('03_Payroll_Register'!$D:$D,'03_Payroll_Register'!$B:$B,A35)</f>
        <v/>
      </c>
      <c r="I35" s="8">
        <f>SUMIFS('03_Payroll_Register'!$E:$E,'03_Payroll_Register'!$B:$B,A35)</f>
        <v/>
      </c>
    </row>
    <row r="36">
      <c r="A36" s="4" t="inlineStr">
        <is>
          <t>C035</t>
        </is>
      </c>
      <c r="B36" s="4">
        <f>IFERROR(INDEX('01_Customer_Tracker'!$B:$B,MATCH(A36,'01_Customer_Tracker'!$A:$A,0)),"")</f>
        <v/>
      </c>
      <c r="C36" s="8" t="n">
        <v>642189</v>
      </c>
      <c r="D36" s="8" t="n">
        <v>579428</v>
      </c>
      <c r="E36" s="8" t="n">
        <v>579428</v>
      </c>
      <c r="F36" s="9" t="n">
        <v>0</v>
      </c>
      <c r="G36" s="4" t="inlineStr">
        <is>
          <t>Reconciled</t>
        </is>
      </c>
      <c r="H36" s="8">
        <f>SUMIFS('03_Payroll_Register'!$D:$D,'03_Payroll_Register'!$B:$B,A36)</f>
        <v/>
      </c>
      <c r="I36" s="8">
        <f>SUMIFS('03_Payroll_Register'!$E:$E,'03_Payroll_Register'!$B:$B,A36)</f>
        <v/>
      </c>
    </row>
    <row r="37">
      <c r="A37" s="4" t="inlineStr">
        <is>
          <t>C036</t>
        </is>
      </c>
      <c r="B37" s="4">
        <f>IFERROR(INDEX('01_Customer_Tracker'!$B:$B,MATCH(A37,'01_Customer_Tracker'!$A:$A,0)),"")</f>
        <v/>
      </c>
      <c r="C37" s="8" t="n">
        <v>302661</v>
      </c>
      <c r="D37" s="8" t="n">
        <v>270846</v>
      </c>
      <c r="E37" s="8" t="n">
        <v>270846</v>
      </c>
      <c r="F37" s="9" t="n">
        <v>0</v>
      </c>
      <c r="G37" s="4" t="inlineStr">
        <is>
          <t>Reconciled</t>
        </is>
      </c>
      <c r="H37" s="8">
        <f>SUMIFS('03_Payroll_Register'!$D:$D,'03_Payroll_Register'!$B:$B,A37)</f>
        <v/>
      </c>
      <c r="I37" s="8">
        <f>SUMIFS('03_Payroll_Register'!$E:$E,'03_Payroll_Register'!$B:$B,A37)</f>
        <v/>
      </c>
    </row>
    <row r="38">
      <c r="A38" s="4" t="inlineStr">
        <is>
          <t>C037</t>
        </is>
      </c>
      <c r="B38" s="4">
        <f>IFERROR(INDEX('01_Customer_Tracker'!$B:$B,MATCH(A38,'01_Customer_Tracker'!$A:$A,0)),"")</f>
        <v/>
      </c>
      <c r="C38" s="8" t="n">
        <v>623483</v>
      </c>
      <c r="D38" s="8" t="n">
        <v>560633</v>
      </c>
      <c r="E38" s="8" t="n">
        <v>560633</v>
      </c>
      <c r="F38" s="9" t="n">
        <v>0</v>
      </c>
      <c r="G38" s="4" t="inlineStr">
        <is>
          <t>Reconciled</t>
        </is>
      </c>
      <c r="H38" s="8">
        <f>SUMIFS('03_Payroll_Register'!$D:$D,'03_Payroll_Register'!$B:$B,A38)</f>
        <v/>
      </c>
      <c r="I38" s="8">
        <f>SUMIFS('03_Payroll_Register'!$E:$E,'03_Payroll_Register'!$B:$B,A38)</f>
        <v/>
      </c>
    </row>
    <row r="39">
      <c r="A39" s="4" t="inlineStr">
        <is>
          <t>C038</t>
        </is>
      </c>
      <c r="B39" s="4">
        <f>IFERROR(INDEX('01_Customer_Tracker'!$B:$B,MATCH(A39,'01_Customer_Tracker'!$A:$A,0)),"")</f>
        <v/>
      </c>
      <c r="C39" s="8" t="n">
        <v>430468</v>
      </c>
      <c r="D39" s="8" t="n">
        <v>385821</v>
      </c>
      <c r="E39" s="8" t="n">
        <v>385821</v>
      </c>
      <c r="F39" s="9" t="n">
        <v>0</v>
      </c>
      <c r="G39" s="4" t="inlineStr">
        <is>
          <t>Reconciled</t>
        </is>
      </c>
      <c r="H39" s="8">
        <f>SUMIFS('03_Payroll_Register'!$D:$D,'03_Payroll_Register'!$B:$B,A39)</f>
        <v/>
      </c>
      <c r="I39" s="8">
        <f>SUMIFS('03_Payroll_Register'!$E:$E,'03_Payroll_Register'!$B:$B,A39)</f>
        <v/>
      </c>
    </row>
    <row r="40">
      <c r="A40" s="4" t="inlineStr">
        <is>
          <t>C039</t>
        </is>
      </c>
      <c r="B40" s="4">
        <f>IFERROR(INDEX('01_Customer_Tracker'!$B:$B,MATCH(A40,'01_Customer_Tracker'!$A:$A,0)),"")</f>
        <v/>
      </c>
      <c r="C40" s="8" t="n">
        <v>332963</v>
      </c>
      <c r="D40" s="8" t="n">
        <v>303480</v>
      </c>
      <c r="E40" s="8" t="n">
        <v>296411</v>
      </c>
      <c r="F40" s="9" t="n">
        <v>-7069</v>
      </c>
      <c r="G40" s="4" t="inlineStr">
        <is>
          <t>Unreconciled</t>
        </is>
      </c>
      <c r="H40" s="8">
        <f>SUMIFS('03_Payroll_Register'!$D:$D,'03_Payroll_Register'!$B:$B,A40)</f>
        <v/>
      </c>
      <c r="I40" s="8">
        <f>SUMIFS('03_Payroll_Register'!$E:$E,'03_Payroll_Register'!$B:$B,A40)</f>
        <v/>
      </c>
    </row>
    <row r="41">
      <c r="A41" s="4" t="inlineStr">
        <is>
          <t>C040</t>
        </is>
      </c>
      <c r="B41" s="4">
        <f>IFERROR(INDEX('01_Customer_Tracker'!$B:$B,MATCH(A41,'01_Customer_Tracker'!$A:$A,0)),"")</f>
        <v/>
      </c>
      <c r="C41" s="8" t="n">
        <v>194520</v>
      </c>
      <c r="D41" s="8" t="n">
        <v>179295</v>
      </c>
      <c r="E41" s="8" t="n">
        <v>179295</v>
      </c>
      <c r="F41" s="9" t="n">
        <v>0</v>
      </c>
      <c r="G41" s="4" t="inlineStr">
        <is>
          <t>Reconciled</t>
        </is>
      </c>
      <c r="H41" s="8">
        <f>SUMIFS('03_Payroll_Register'!$D:$D,'03_Payroll_Register'!$B:$B,A41)</f>
        <v/>
      </c>
      <c r="I41" s="8">
        <f>SUMIFS('03_Payroll_Register'!$E:$E,'03_Payroll_Register'!$B:$B,A41)</f>
        <v/>
      </c>
    </row>
    <row r="42">
      <c r="A42" s="4" t="inlineStr">
        <is>
          <t>C041</t>
        </is>
      </c>
      <c r="B42" s="4">
        <f>IFERROR(INDEX('01_Customer_Tracker'!$B:$B,MATCH(A42,'01_Customer_Tracker'!$A:$A,0)),"")</f>
        <v/>
      </c>
      <c r="C42" s="8" t="n">
        <v>1356591</v>
      </c>
      <c r="D42" s="8" t="n">
        <v>1232611</v>
      </c>
      <c r="E42" s="8" t="n">
        <v>1232611</v>
      </c>
      <c r="F42" s="9" t="n">
        <v>0</v>
      </c>
      <c r="G42" s="4" t="inlineStr">
        <is>
          <t>Reconciled</t>
        </is>
      </c>
      <c r="H42" s="8">
        <f>SUMIFS('03_Payroll_Register'!$D:$D,'03_Payroll_Register'!$B:$B,A42)</f>
        <v/>
      </c>
      <c r="I42" s="8">
        <f>SUMIFS('03_Payroll_Register'!$E:$E,'03_Payroll_Register'!$B:$B,A42)</f>
        <v/>
      </c>
    </row>
    <row r="43">
      <c r="A43" s="4" t="inlineStr">
        <is>
          <t>C042</t>
        </is>
      </c>
      <c r="B43" s="4">
        <f>IFERROR(INDEX('01_Customer_Tracker'!$B:$B,MATCH(A43,'01_Customer_Tracker'!$A:$A,0)),"")</f>
        <v/>
      </c>
      <c r="C43" s="8" t="n">
        <v>319689</v>
      </c>
      <c r="D43" s="8" t="n">
        <v>291787</v>
      </c>
      <c r="E43" s="8" t="n">
        <v>291787</v>
      </c>
      <c r="F43" s="9" t="n">
        <v>0</v>
      </c>
      <c r="G43" s="4" t="inlineStr">
        <is>
          <t>Reconciled</t>
        </is>
      </c>
      <c r="H43" s="8">
        <f>SUMIFS('03_Payroll_Register'!$D:$D,'03_Payroll_Register'!$B:$B,A43)</f>
        <v/>
      </c>
      <c r="I43" s="8">
        <f>SUMIFS('03_Payroll_Register'!$E:$E,'03_Payroll_Register'!$B:$B,A43)</f>
        <v/>
      </c>
    </row>
    <row r="44">
      <c r="A44" s="4" t="inlineStr">
        <is>
          <t>C043</t>
        </is>
      </c>
      <c r="B44" s="4">
        <f>IFERROR(INDEX('01_Customer_Tracker'!$B:$B,MATCH(A44,'01_Customer_Tracker'!$A:$A,0)),"")</f>
        <v/>
      </c>
      <c r="C44" s="8" t="n">
        <v>805521</v>
      </c>
      <c r="D44" s="8" t="n">
        <v>730546</v>
      </c>
      <c r="E44" s="8" t="n">
        <v>730546</v>
      </c>
      <c r="F44" s="9" t="n">
        <v>0</v>
      </c>
      <c r="G44" s="4" t="inlineStr">
        <is>
          <t>Reconciled</t>
        </is>
      </c>
      <c r="H44" s="8">
        <f>SUMIFS('03_Payroll_Register'!$D:$D,'03_Payroll_Register'!$B:$B,A44)</f>
        <v/>
      </c>
      <c r="I44" s="8">
        <f>SUMIFS('03_Payroll_Register'!$E:$E,'03_Payroll_Register'!$B:$B,A44)</f>
        <v/>
      </c>
    </row>
    <row r="45">
      <c r="A45" s="4" t="inlineStr">
        <is>
          <t>C044</t>
        </is>
      </c>
      <c r="B45" s="4">
        <f>IFERROR(INDEX('01_Customer_Tracker'!$B:$B,MATCH(A45,'01_Customer_Tracker'!$A:$A,0)),"")</f>
        <v/>
      </c>
      <c r="C45" s="8" t="n">
        <v>243648</v>
      </c>
      <c r="D45" s="8" t="n">
        <v>222431</v>
      </c>
      <c r="E45" s="8" t="n">
        <v>222431</v>
      </c>
      <c r="F45" s="9" t="n">
        <v>0</v>
      </c>
      <c r="G45" s="4" t="inlineStr">
        <is>
          <t>Reconciled</t>
        </is>
      </c>
      <c r="H45" s="8">
        <f>SUMIFS('03_Payroll_Register'!$D:$D,'03_Payroll_Register'!$B:$B,A45)</f>
        <v/>
      </c>
      <c r="I45" s="8">
        <f>SUMIFS('03_Payroll_Register'!$E:$E,'03_Payroll_Register'!$B:$B,A45)</f>
        <v/>
      </c>
    </row>
    <row r="46">
      <c r="A46" s="4" t="inlineStr">
        <is>
          <t>C045</t>
        </is>
      </c>
      <c r="B46" s="4">
        <f>IFERROR(INDEX('01_Customer_Tracker'!$B:$B,MATCH(A46,'01_Customer_Tracker'!$A:$A,0)),"")</f>
        <v/>
      </c>
      <c r="C46" s="8" t="n">
        <v>220927</v>
      </c>
      <c r="D46" s="8" t="n">
        <v>204886</v>
      </c>
      <c r="E46" s="8" t="n">
        <v>204886</v>
      </c>
      <c r="F46" s="9" t="n">
        <v>0</v>
      </c>
      <c r="G46" s="4" t="inlineStr">
        <is>
          <t>Reconciled</t>
        </is>
      </c>
      <c r="H46" s="8">
        <f>SUMIFS('03_Payroll_Register'!$D:$D,'03_Payroll_Register'!$B:$B,A46)</f>
        <v/>
      </c>
      <c r="I46" s="8">
        <f>SUMIFS('03_Payroll_Register'!$E:$E,'03_Payroll_Register'!$B:$B,A46)</f>
        <v/>
      </c>
    </row>
    <row r="47">
      <c r="A47" s="4" t="inlineStr">
        <is>
          <t>C046</t>
        </is>
      </c>
      <c r="B47" s="4">
        <f>IFERROR(INDEX('01_Customer_Tracker'!$B:$B,MATCH(A47,'01_Customer_Tracker'!$A:$A,0)),"")</f>
        <v/>
      </c>
      <c r="C47" s="8" t="n">
        <v>406658</v>
      </c>
      <c r="D47" s="8" t="n">
        <v>362885</v>
      </c>
      <c r="E47" s="8" t="n">
        <v>362885</v>
      </c>
      <c r="F47" s="9" t="n">
        <v>0</v>
      </c>
      <c r="G47" s="4" t="inlineStr">
        <is>
          <t>Reconciled</t>
        </is>
      </c>
      <c r="H47" s="8">
        <f>SUMIFS('03_Payroll_Register'!$D:$D,'03_Payroll_Register'!$B:$B,A47)</f>
        <v/>
      </c>
      <c r="I47" s="8">
        <f>SUMIFS('03_Payroll_Register'!$E:$E,'03_Payroll_Register'!$B:$B,A47)</f>
        <v/>
      </c>
    </row>
    <row r="48">
      <c r="A48" s="4" t="inlineStr">
        <is>
          <t>C047</t>
        </is>
      </c>
      <c r="B48" s="4">
        <f>IFERROR(INDEX('01_Customer_Tracker'!$B:$B,MATCH(A48,'01_Customer_Tracker'!$A:$A,0)),"")</f>
        <v/>
      </c>
      <c r="C48" s="8" t="n">
        <v>608538</v>
      </c>
      <c r="D48" s="8" t="n">
        <v>540542</v>
      </c>
      <c r="E48" s="8" t="n">
        <v>540542</v>
      </c>
      <c r="F48" s="9" t="n">
        <v>0</v>
      </c>
      <c r="G48" s="4" t="inlineStr">
        <is>
          <t>Reconciled</t>
        </is>
      </c>
      <c r="H48" s="8">
        <f>SUMIFS('03_Payroll_Register'!$D:$D,'03_Payroll_Register'!$B:$B,A48)</f>
        <v/>
      </c>
      <c r="I48" s="8">
        <f>SUMIFS('03_Payroll_Register'!$E:$E,'03_Payroll_Register'!$B:$B,A48)</f>
        <v/>
      </c>
    </row>
    <row r="49">
      <c r="A49" s="4" t="inlineStr">
        <is>
          <t>C048</t>
        </is>
      </c>
      <c r="B49" s="4">
        <f>IFERROR(INDEX('01_Customer_Tracker'!$B:$B,MATCH(A49,'01_Customer_Tracker'!$A:$A,0)),"")</f>
        <v/>
      </c>
      <c r="C49" s="8" t="n">
        <v>958789</v>
      </c>
      <c r="D49" s="8" t="n">
        <v>871654</v>
      </c>
      <c r="E49" s="8" t="n">
        <v>870894</v>
      </c>
      <c r="F49" s="9" t="n">
        <v>-760</v>
      </c>
      <c r="G49" s="4" t="inlineStr">
        <is>
          <t>Unreconciled</t>
        </is>
      </c>
      <c r="H49" s="8">
        <f>SUMIFS('03_Payroll_Register'!$D:$D,'03_Payroll_Register'!$B:$B,A49)</f>
        <v/>
      </c>
      <c r="I49" s="8">
        <f>SUMIFS('03_Payroll_Register'!$E:$E,'03_Payroll_Register'!$B:$B,A49)</f>
        <v/>
      </c>
    </row>
    <row r="50">
      <c r="A50" s="4" t="inlineStr">
        <is>
          <t>C049</t>
        </is>
      </c>
      <c r="B50" s="4">
        <f>IFERROR(INDEX('01_Customer_Tracker'!$B:$B,MATCH(A50,'01_Customer_Tracker'!$A:$A,0)),"")</f>
        <v/>
      </c>
      <c r="C50" s="8" t="n">
        <v>116269</v>
      </c>
      <c r="D50" s="8" t="n">
        <v>107065</v>
      </c>
      <c r="E50" s="8" t="n">
        <v>107065</v>
      </c>
      <c r="F50" s="9" t="n">
        <v>0</v>
      </c>
      <c r="G50" s="4" t="inlineStr">
        <is>
          <t>Reconciled</t>
        </is>
      </c>
      <c r="H50" s="8">
        <f>SUMIFS('03_Payroll_Register'!$D:$D,'03_Payroll_Register'!$B:$B,A50)</f>
        <v/>
      </c>
      <c r="I50" s="8">
        <f>SUMIFS('03_Payroll_Register'!$E:$E,'03_Payroll_Register'!$B:$B,A50)</f>
        <v/>
      </c>
    </row>
    <row r="51">
      <c r="A51" s="4" t="inlineStr">
        <is>
          <t>C050</t>
        </is>
      </c>
      <c r="B51" s="4">
        <f>IFERROR(INDEX('01_Customer_Tracker'!$B:$B,MATCH(A51,'01_Customer_Tracker'!$A:$A,0)),"")</f>
        <v/>
      </c>
      <c r="C51" s="8" t="n">
        <v>486308</v>
      </c>
      <c r="D51" s="8" t="n">
        <v>442462</v>
      </c>
      <c r="E51" s="8" t="n">
        <v>442462</v>
      </c>
      <c r="F51" s="9" t="n">
        <v>0</v>
      </c>
      <c r="G51" s="4" t="inlineStr">
        <is>
          <t>Reconciled</t>
        </is>
      </c>
      <c r="H51" s="8">
        <f>SUMIFS('03_Payroll_Register'!$D:$D,'03_Payroll_Register'!$B:$B,A51)</f>
        <v/>
      </c>
      <c r="I51" s="8">
        <f>SUMIFS('03_Payroll_Register'!$E:$E,'03_Payroll_Register'!$B:$B,A51)</f>
        <v/>
      </c>
    </row>
  </sheetData>
  <conditionalFormatting sqref="F2:F51">
    <cfRule type="cellIs" priority="1" operator="notEqual" dxfId="0">
      <formula>0</formula>
    </cfRule>
  </conditionalFormatting>
  <conditionalFormatting sqref="G2:G51">
    <cfRule type="cellIs" priority="2" operator="equal" dxfId="0">
      <formula>"Unreconciled"</formula>
    </cfRule>
    <cfRule type="cellIs" priority="3" operator="equal" dxfId="1">
      <formula>"Under Review"</formula>
    </cfRule>
    <cfRule type="cellIs" priority="4" operator="equal" dxfId="2">
      <formula>"Reconciled"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</cols>
  <sheetData>
    <row r="2">
      <c r="B2" s="10" t="inlineStr">
        <is>
          <t>PayFlow — Payroll Operations KPI Dashboard</t>
        </is>
      </c>
    </row>
    <row r="4">
      <c r="B4" s="11" t="inlineStr">
        <is>
          <t>Onboarding Pipeline</t>
        </is>
      </c>
    </row>
    <row r="5">
      <c r="B5" s="12" t="inlineStr">
        <is>
          <t>Total Onboarding Accounts</t>
        </is>
      </c>
      <c r="C5" s="4">
        <f>COUNTA('01_Customer_Tracker'!$A$2:$A$51)</f>
        <v/>
      </c>
    </row>
    <row r="6">
      <c r="B6" s="12" t="inlineStr">
        <is>
          <t>On Track</t>
        </is>
      </c>
      <c r="C6" s="4">
        <f>COUNTIF('01_Customer_Tracker'!$H:$H,"On Track")</f>
        <v/>
      </c>
    </row>
    <row r="7">
      <c r="B7" s="12" t="inlineStr">
        <is>
          <t>At Risk</t>
        </is>
      </c>
      <c r="C7" s="4">
        <f>COUNTIF('01_Customer_Tracker'!$H:$H,"At Risk")</f>
        <v/>
      </c>
    </row>
    <row r="8">
      <c r="B8" s="12" t="inlineStr">
        <is>
          <t>Blocked</t>
        </is>
      </c>
      <c r="C8" s="4">
        <f>COUNTIF('01_Customer_Tracker'!$H:$H,"Blocked")</f>
        <v/>
      </c>
    </row>
    <row r="9">
      <c r="B9" s="12" t="inlineStr">
        <is>
          <t>Completed</t>
        </is>
      </c>
      <c r="C9" s="4">
        <f>COUNTIF('01_Customer_Tracker'!$H:$H,"Completed")</f>
        <v/>
      </c>
    </row>
    <row r="10">
      <c r="B10" s="12" t="inlineStr">
        <is>
          <t>SLA Breach (recomputed)</t>
        </is>
      </c>
      <c r="C10" s="4">
        <f>COUNTIF('01_Customer_Tracker'!$N:$N,"SLA Breach")</f>
        <v/>
      </c>
    </row>
    <row r="11">
      <c r="B11" s="12" t="inlineStr">
        <is>
          <t>Average Task Completion %</t>
        </is>
      </c>
      <c r="C11" s="6">
        <f>AVERAGE('01_Customer_Tracker'!$K:$K)</f>
        <v/>
      </c>
    </row>
    <row r="13">
      <c r="B13" s="11" t="inlineStr">
        <is>
          <t>Payroll Reconciliation</t>
        </is>
      </c>
    </row>
    <row r="14">
      <c r="B14" s="12" t="inlineStr">
        <is>
          <t>Reconciled Accounts</t>
        </is>
      </c>
      <c r="C14" s="4">
        <f>COUNTIF('06_Reconciliation_Summary'!$G:$G,"Reconciled")</f>
        <v/>
      </c>
    </row>
    <row r="15">
      <c r="B15" s="12" t="inlineStr">
        <is>
          <t>Under Review</t>
        </is>
      </c>
      <c r="C15" s="4">
        <f>COUNTIF('06_Reconciliation_Summary'!$G:$G,"Under Review")</f>
        <v/>
      </c>
    </row>
    <row r="16">
      <c r="B16" s="12" t="inlineStr">
        <is>
          <t>Unreconciled</t>
        </is>
      </c>
      <c r="C16" s="4">
        <f>COUNTIF('06_Reconciliation_Summary'!$G:$G,"Unreconciled")</f>
        <v/>
      </c>
    </row>
    <row r="17">
      <c r="B17" s="12" t="inlineStr">
        <is>
          <t>Total Expected Gross (₹)</t>
        </is>
      </c>
      <c r="C17" s="8">
        <f>SUM('06_Reconciliation_Summary'!$C:$C)</f>
        <v/>
      </c>
    </row>
    <row r="18">
      <c r="B18" s="12" t="inlineStr">
        <is>
          <t>Total Expected Net (₹)</t>
        </is>
      </c>
      <c r="C18" s="8">
        <f>SUM('06_Reconciliation_Summary'!$D:$D)</f>
        <v/>
      </c>
    </row>
    <row r="19">
      <c r="B19" s="12" t="inlineStr">
        <is>
          <t>Total Processed Net (₹)</t>
        </is>
      </c>
      <c r="C19" s="8">
        <f>SUM('06_Reconciliation_Summary'!$E:$E)</f>
        <v/>
      </c>
    </row>
    <row r="20">
      <c r="B20" s="12" t="inlineStr">
        <is>
          <t>Total Net Variance (₹)</t>
        </is>
      </c>
      <c r="C20" s="8">
        <f>SUM('06_Reconciliation_Summary'!$F:$F)</f>
        <v/>
      </c>
    </row>
    <row r="22">
      <c r="B22" s="11" t="inlineStr">
        <is>
          <t>Exception Severity</t>
        </is>
      </c>
    </row>
    <row r="23">
      <c r="B23" s="12" t="inlineStr">
        <is>
          <t>Critical Exceptions</t>
        </is>
      </c>
      <c r="C23" s="4">
        <f>COUNTIF('05_Exception_Log'!$D:$D,"Critical")</f>
        <v/>
      </c>
    </row>
    <row r="24">
      <c r="B24" s="12" t="inlineStr">
        <is>
          <t>High Exceptions</t>
        </is>
      </c>
      <c r="C24" s="4">
        <f>COUNTIF('05_Exception_Log'!$D:$D,"High")</f>
        <v/>
      </c>
    </row>
    <row r="25">
      <c r="B25" s="12" t="inlineStr">
        <is>
          <t>Medium Exceptions</t>
        </is>
      </c>
      <c r="C25" s="4">
        <f>COUNTIF('05_Exception_Log'!$D:$D,"Medium")</f>
        <v/>
      </c>
    </row>
    <row r="26">
      <c r="B26" s="12" t="inlineStr">
        <is>
          <t>Total Exceptions Logged</t>
        </is>
      </c>
      <c r="C26" s="4">
        <f>COUNTA('05_Exception_Log'!$A$2:$A$100000)</f>
        <v/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2026-09-18T15:04:16Z</dcterms:created>
  <dcterms:modified xsi:type="dcterms:W3CDTF">2026-09-18T15:04:17Z</dcterms:modified>
</cp:coreProperties>
</file>